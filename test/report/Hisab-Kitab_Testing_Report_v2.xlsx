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oldout Summary" sheetId="2" state="visible" r:id="rId4"/>
    <sheet name="Holdout R2 (final)" sheetId="3" state="visible" r:id="rId5"/>
    <sheet name="Holdout R1" sheetId="4" state="visible" r:id="rId6"/>
    <sheet name="Employee" sheetId="5" state="visible" r:id="rId7"/>
    <sheet name="Customer" sheetId="6" state="visible" r:id="rId8"/>
    <sheet name="Supplier" sheetId="7" state="visible" r:id="rId9"/>
    <sheet name="Expense" sheetId="8" state="visible" r:id="rId10"/>
    <sheet name="Family" sheetId="9" state="visible" r:id="rId11"/>
    <sheet name="Stock" sheetId="10" state="visible" r:id="rId12"/>
    <sheet name="Purchase" sheetId="11" state="visible" r:id="rId13"/>
    <sheet name="Report" sheetId="12" state="visible" r:id="rId14"/>
    <sheet name="Correction" sheetId="13" state="visible" r:id="rId15"/>
    <sheet name="Router" sheetId="14" state="visible" r:id="rId16"/>
    <sheet name="Employee F" sheetId="15" state="visible" r:id="rId17"/>
    <sheet name="Changelog" sheetId="16" state="visible" r:id="rId18"/>
    <sheet name="Known issues" sheetId="17" state="visible" r:id="rId19"/>
    <sheet name="Roadmap" sheetId="18" state="visible" r:id="rId20"/>
    <sheet name="Methodology" sheetId="19" state="visible" r:id="rId21"/>
    <sheet name="Seed Data"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<sst xmlns="http://schemas.openxmlformats.org/spreadsheetml/2006/main" count="15175" uniqueCount="5271">
  <si>
    <t xml:space="preserve">Hisab-Kitab AI — Testing Report v2: Employee, Customer, Supplier, Expense, Family, Stock, Purchase, Report, Correction, Router (before vs after fixes) + holdout on unseen data</t>
  </si>
  <si>
    <t xml:space="preserve">Model gpt-4o-mini · test dates 2026-10-04 to 2026-10-08 · every number below is a live formula over the bundle sheets. After-fix numbers are Hinglish; Hindi and English after-fix runs are planned once all bundles are fixed.</t>
  </si>
  <si>
    <t xml:space="preserve">z (95%)</t>
  </si>
  <si>
    <t xml:space="preserve">Wilson interval z-value (input).</t>
  </si>
  <si>
    <t xml:space="preserve">Final result on unseen data (Holdout round 2, 135 statements):</t>
  </si>
  <si>
    <t xml:space="preserve">strict accuracy</t>
  </si>
  <si>
    <t xml:space="preserve">silent-error rate (see 'Holdout Summary')</t>
  </si>
  <si>
    <t xml:space="preserve">1. Before vs after — all categories</t>
  </si>
  <si>
    <t xml:space="preserve">Bundle / run</t>
  </si>
  <si>
    <t xml:space="preserve">Rows</t>
  </si>
  <si>
    <t xml:space="preserve">Strict accuracy</t>
  </si>
  <si>
    <t xml:space="preserve">95% CI low</t>
  </si>
  <si>
    <t xml:space="preserve">95% CI high</t>
  </si>
  <si>
    <t xml:space="preserve">Safe rate</t>
  </si>
  <si>
    <t xml:space="preserve">Silent-error rate</t>
  </si>
  <si>
    <t xml:space="preserve">Employee — before (v1), Hinglish</t>
  </si>
  <si>
    <t xml:space="preserve">Employee — after fixes (full run 5 Oct 13:49), Hinglish</t>
  </si>
  <si>
    <t xml:space="preserve">Customer — before (v1), Hinglish</t>
  </si>
  <si>
    <t xml:space="preserve">Customer — after fixes (full run 5 Oct 22:14), Hinglish</t>
  </si>
  <si>
    <t xml:space="preserve">Supplier — before (baseline), Hinglish</t>
  </si>
  <si>
    <t xml:space="preserve">Supplier — after fixes (full run 6 Oct 15:27), Hinglish</t>
  </si>
  <si>
    <t xml:space="preserve">Expense — before (baseline), Hinglish</t>
  </si>
  <si>
    <t xml:space="preserve">Expense — after fixes (full run 6 Oct 17:42), Hinglish</t>
  </si>
  <si>
    <t xml:space="preserve">Family — before (baseline), Hinglish</t>
  </si>
  <si>
    <t xml:space="preserve">Family — after fixes (full run 7 Oct 12:15), Hinglish</t>
  </si>
  <si>
    <t xml:space="preserve">Stock — before (baseline), Hinglish</t>
  </si>
  <si>
    <t xml:space="preserve">Stock — after fixes (full run 8 Oct 07:07), Hinglish</t>
  </si>
  <si>
    <t xml:space="preserve">Purchase — before (baseline), Hinglish</t>
  </si>
  <si>
    <t xml:space="preserve">Purchase — after fixes (full run 8 Oct 13:17), Hinglish</t>
  </si>
  <si>
    <t xml:space="preserve">Report — before (baseline), Hinglish</t>
  </si>
  <si>
    <t xml:space="preserve">Report — after fixes (full run 8 Oct 11:16), Hinglish</t>
  </si>
  <si>
    <t xml:space="preserve">Correction — before (baseline), Hinglish</t>
  </si>
  <si>
    <t xml:space="preserve">Correction — after fixes (latest per test: 11:28 full + 11:57 re-run), Hinglish</t>
  </si>
  <si>
    <t xml:space="preserve">Router — single full run (12:27), Hinglish</t>
  </si>
  <si>
    <t xml:space="preserve">Employee — before (v1), Hindi</t>
  </si>
  <si>
    <t xml:space="preserve">Employee — before (v1), English</t>
  </si>
  <si>
    <t xml:space="preserve">Employee F — fields correct (latest per test, not a full run)</t>
  </si>
  <si>
    <t xml:space="preserve">After = the last FULL run of each bundle (every test in one run; run file named in the row). Exceptions, marked in the row: Correction and Employee F (latest result per test).</t>
  </si>
  <si>
    <t xml:space="preserve">Supplier fixes changed shared steps (extraction, grouping, dates, amounts). Customer and Employee were re-checked on ~40 selected tests (all passed), not re-run in full — see Known issues.</t>
  </si>
  <si>
    <t xml:space="preserve">2. Employee — before (v1), Hinglish</t>
  </si>
  <si>
    <t xml:space="preserve">Category</t>
  </si>
  <si>
    <t xml:space="preserve">Correct</t>
  </si>
  <si>
    <t xml:space="preserve">Safe ask</t>
  </si>
  <si>
    <t xml:space="preserve">Silent wrong</t>
  </si>
  <si>
    <t xml:space="preserve">Missed</t>
  </si>
  <si>
    <t xml:space="preserve">A - Daily</t>
  </si>
  <si>
    <t xml:space="preserve">B - Tricky</t>
  </si>
  <si>
    <t xml:space="preserve">C - Edge</t>
  </si>
  <si>
    <t xml:space="preserve">D - Other business</t>
  </si>
  <si>
    <t xml:space="preserve">E - Mixed</t>
  </si>
  <si>
    <t xml:space="preserve">All categories</t>
  </si>
  <si>
    <t xml:space="preserve">3. Employee — after fixes (full run 5 Oct 13:49), Hinglish</t>
  </si>
  <si>
    <t xml:space="preserve">4. Customer — before (v1), Hinglish</t>
  </si>
  <si>
    <t xml:space="preserve">5. Customer — after fixes (full run 5 Oct 22:14), Hinglish</t>
  </si>
  <si>
    <t xml:space="preserve">6. Supplier — before (baseline), Hinglish</t>
  </si>
  <si>
    <t xml:space="preserve">7. Supplier — after fixes (full run 6 Oct 15:27), Hinglish</t>
  </si>
  <si>
    <t xml:space="preserve">8. Expense — before (baseline), Hinglish</t>
  </si>
  <si>
    <t xml:space="preserve">9. Expense — after fixes (full run 6 Oct 17:42), Hinglish</t>
  </si>
  <si>
    <t xml:space="preserve">10. Family — before (baseline), Hinglish</t>
  </si>
  <si>
    <t xml:space="preserve">11. Family — after fixes (full run 7 Oct 12:15), Hinglish</t>
  </si>
  <si>
    <t xml:space="preserve">12. Stock — before (baseline), Hinglish</t>
  </si>
  <si>
    <t xml:space="preserve">13. Stock — after fixes (full run 8 Oct 07:07), Hinglish</t>
  </si>
  <si>
    <t xml:space="preserve">14. Purchase — before (baseline), Hinglish</t>
  </si>
  <si>
    <t xml:space="preserve">15. Purchase — after fixes (full run 8 Oct 13:17), Hinglish</t>
  </si>
  <si>
    <t xml:space="preserve">16. Report — before (baseline), Hinglish</t>
  </si>
  <si>
    <t xml:space="preserve">A - Person report</t>
  </si>
  <si>
    <t xml:space="preserve">B - Other reports</t>
  </si>
  <si>
    <t xml:space="preserve">D - Not a report</t>
  </si>
  <si>
    <t xml:space="preserve">17. Report — after fixes (full run 8 Oct 11:16), Hinglish</t>
  </si>
  <si>
    <t xml:space="preserve">18. Correction — before (baseline), Hinglish</t>
  </si>
  <si>
    <t xml:space="preserve">A - Name + date</t>
  </si>
  <si>
    <t xml:space="preserve">B - No name / date</t>
  </si>
  <si>
    <t xml:space="preserve">C - New entry + correction</t>
  </si>
  <si>
    <t xml:space="preserve">D - Not a correction</t>
  </si>
  <si>
    <t xml:space="preserve">19. Correction — after fixes (latest per test: 11:28 full + 11:57 re-run), Hinglish</t>
  </si>
  <si>
    <t xml:space="preserve">20. Router — single full run (12:27), Hinglish</t>
  </si>
  <si>
    <t xml:space="preserve">A - General chat</t>
  </si>
  <si>
    <t xml:space="preserve">B - Chat like business</t>
  </si>
  <si>
    <t xml:space="preserve">C - Entry like chat</t>
  </si>
  <si>
    <t xml:space="preserve">D - Report or entry</t>
  </si>
  <si>
    <t xml:space="preserve">21. Employee — before (v1), Hindi</t>
  </si>
  <si>
    <t xml:space="preserve">22. Employee — before (v1), English</t>
  </si>
  <si>
    <t xml:space="preserve">Reading the numbers</t>
  </si>
  <si>
    <t xml:space="preserve">• Correct = right tool + every key argument (type, amount, date, person; for sales also item, quantity, rate, source, driver).</t>
  </si>
  <si>
    <t xml:space="preserve">• A correctly asked question (expected ASK and the system asked for the missing value) counts as Correct.</t>
  </si>
  <si>
    <t xml:space="preserve">• Silent wrong is the critical number for an accounting tool: a wrong entry that nobody is warned about.</t>
  </si>
  <si>
    <t xml:space="preserve">• Test sets were written and locked before the first run (v1); new prompt examples were checked against every test statement (similarity ≤ 0.69).</t>
  </si>
  <si>
    <t xml:space="preserve">• Fixes are mostly deterministic code rules after the LLM, so the same input gives the same correction every time (see Changelog).</t>
  </si>
  <si>
    <t xml:space="preserve">Final evaluation on unseen data (holdout) — round 1 vs round 2 (final)</t>
  </si>
  <si>
    <t xml:space="preserve">Numbers are live formulas over the two holdout sheets (Wilson 95% interval, z from Summary!B3). 'Tests fully right' = every expected entry of the statement correct (counted from the run files).</t>
  </si>
  <si>
    <t xml:space="preserve">1. Holdout round 2 — FINAL (run 2026-10-08 16:51, no fixes after it)</t>
  </si>
  <si>
    <t xml:space="preserve">Bundle</t>
  </si>
  <si>
    <t xml:space="preserve">Tests fully right</t>
  </si>
  <si>
    <t xml:space="preserve">Employee</t>
  </si>
  <si>
    <t xml:space="preserve">13/15</t>
  </si>
  <si>
    <t xml:space="preserve">Customer</t>
  </si>
  <si>
    <t xml:space="preserve">8/15</t>
  </si>
  <si>
    <t xml:space="preserve">Supplier</t>
  </si>
  <si>
    <t xml:space="preserve">14/15</t>
  </si>
  <si>
    <t xml:space="preserve">Expense</t>
  </si>
  <si>
    <t xml:space="preserve">12/15</t>
  </si>
  <si>
    <t xml:space="preserve">Family</t>
  </si>
  <si>
    <t xml:space="preserve">10/15</t>
  </si>
  <si>
    <t xml:space="preserve">Stock</t>
  </si>
  <si>
    <t xml:space="preserve">Purchase</t>
  </si>
  <si>
    <t xml:space="preserve">Report</t>
  </si>
  <si>
    <t xml:space="preserve">7/10</t>
  </si>
  <si>
    <t xml:space="preserve">Correction</t>
  </si>
  <si>
    <t xml:space="preserve">8/10</t>
  </si>
  <si>
    <t xml:space="preserve">Router</t>
  </si>
  <si>
    <t xml:space="preserve">9/10</t>
  </si>
  <si>
    <t xml:space="preserve">All</t>
  </si>
  <si>
    <t xml:space="preserve">103/135</t>
  </si>
  <si>
    <t xml:space="preserve">2. Holdout round 1 (run 2026-10-08 14:40; used for fixes afterwards)</t>
  </si>
  <si>
    <t xml:space="preserve">9/15</t>
  </si>
  <si>
    <t xml:space="preserve">6/15</t>
  </si>
  <si>
    <t xml:space="preserve">10/10</t>
  </si>
  <si>
    <t xml:space="preserve">90/135</t>
  </si>
  <si>
    <t xml:space="preserve">3. Round 2 by statement type (entry bundles only)</t>
  </si>
  <si>
    <t xml:space="preserve">Papa-style</t>
  </si>
  <si>
    <t xml:space="preserve">Mixed</t>
  </si>
  <si>
    <t xml:space="preserve">Entry bundles</t>
  </si>
  <si>
    <t xml:space="preserve">4. Round 1 by statement type (entry bundles only)</t>
  </si>
  <si>
    <t xml:space="preserve">How to read this</t>
  </si>
  <si>
    <t xml:space="preserve">• Round 2 is the headline result on unseen data: it was written after the round-1 fixes and run once, with no fix after it.</t>
  </si>
  <si>
    <t xml:space="preserve">• Round 1 is shown for honesty: its failures were used to make 7 fix groups, so it shows the system BEFORE those fixes.</t>
  </si>
  <si>
    <t xml:space="preserve">• The dev bundle numbers (Summary) are higher because the fixes were made while looking at those tests; holdout numbers are the realistic estimate.</t>
  </si>
  <si>
    <t xml:space="preserve">• Round 2 is smaller in rows (166 vs 178) because fewer extra (wrong) entries were created — extra entries add rows.</t>
  </si>
  <si>
    <t xml:space="preserve">• Main remaining failure families (round 2): a short employee name matched inside a longer name ('Mange Ram' → 'Ram'), 'le gaya' read as goods instead of money, amount split from its person, stock shortage words, home vs business expense, person name in report requests. See Known issues and Roadmap.</t>
  </si>
  <si>
    <t xml:space="preserve">Holdout round 2 (FINAL) — 135 new unseen statements (run 2026-10-08 16:51, Hinglish)</t>
  </si>
  <si>
    <t xml:space="preserve">Same design as round 1, new statements, written after the round-1 fixes and locked 16:49. Run ONCE; no fix was made after this run, so these are the final numbers on unseen data. Before the run the user simplified 5 statements (EMP-04, EMP-07, EMP-08, SUP-07, PUR-01).</t>
  </si>
  <si>
    <t xml:space="preserve">Same scorer and rules as round 1 and the dev bundles. A correctly asked question on an ASK test counts as Correct. Debatable rows kept as scored: RPT-03 'pichle paanch din' (start 3 Oct vs 4 Oct), CUS-06 quantity 0 vs 1.</t>
  </si>
  <si>
    <t xml:space="preserve">Test ID</t>
  </si>
  <si>
    <t xml:space="preserve">Statement type</t>
  </si>
  <si>
    <t xml:space="preserve">Event #</t>
  </si>
  <si>
    <t xml:space="preserve">Statement (Hinglish)</t>
  </si>
  <si>
    <t xml:space="preserve">Expected outcome</t>
  </si>
  <si>
    <t xml:space="preserve">Expected entry / route</t>
  </si>
  <si>
    <t xml:space="preserve">Actual (system output)</t>
  </si>
  <si>
    <t xml:space="preserve">Result</t>
  </si>
  <si>
    <t xml:space="preserve">Remark (scorer)</t>
  </si>
  <si>
    <t xml:space="preserve">F2-EMP-01</t>
  </si>
  <si>
    <t xml:space="preserve">1</t>
  </si>
  <si>
    <t xml:space="preserve">Naresh beldar ki aaj ki 550 mazdoori chuka di</t>
  </si>
  <si>
    <t xml:space="preserve">ENTRY</t>
  </si>
  <si>
    <t xml:space="preserve">employee_transaction(employee_name=Naresh, transaction_type=payment, amount=550, date=T)</t>
  </si>
  <si>
    <t xml:space="preserve">employee_transaction(note=mazdoori chuka di, amount=550.0, employee_name=Naresh beldar, transaction_date=2026-10-08, transaction_type=payment)</t>
  </si>
  <si>
    <t xml:space="preserve">F2-EMP-02</t>
  </si>
  <si>
    <t xml:space="preserve">Sohan aaj site pe nahi aaya, beemar hai</t>
  </si>
  <si>
    <t xml:space="preserve">attendance(employee_name=Sohan, attendance=absent, date=T)</t>
  </si>
  <si>
    <t xml:space="preserve">attendance(note=beemar hai, driving=absent, attendance=absent, employee_name=Sohan, attendance_date=2026-10-08)</t>
  </si>
  <si>
    <t xml:space="preserve">F2-EMP-03</t>
  </si>
  <si>
    <t xml:space="preserve">Ram ne gudam mein darwaze chhaante, 700 bante hain</t>
  </si>
  <si>
    <t xml:space="preserve">employee_transaction(employee_name=Ram, transaction_type=work, amount=700, date=T)</t>
  </si>
  <si>
    <t xml:space="preserve">(no entry)</t>
  </si>
  <si>
    <t xml:space="preserve">record_employee_transaction: no entry, no question (route=accounting)</t>
  </si>
  <si>
    <t xml:space="preserve">F2-EMP-04</t>
  </si>
  <si>
    <t xml:space="preserve">Kitanu aaj kaam pe aaya, tractor bhi usi ne chalaya</t>
  </si>
  <si>
    <t xml:space="preserve">attendance(employee_name=Kitanu, attendance=P, driving=P, date=T)</t>
  </si>
  <si>
    <t xml:space="preserve">attendance(driving=P, attendance=P, employee_name=Kitanu, attendance_date=2026-10-08)</t>
  </si>
  <si>
    <t xml:space="preserve">F2-EMP-05</t>
  </si>
  <si>
    <t xml:space="preserve">Pappu ko kal 300 aur aaj 400 diye</t>
  </si>
  <si>
    <t xml:space="preserve">employee_transaction(employee_name=Pappu, transaction_type=payment, amount=300, date=T-1)</t>
  </si>
  <si>
    <t xml:space="preserve">employee_transaction(amount=300.0, employee_name=Pappu, transaction_date=2026-10-07, transaction_type=payment); employee_transaction(amount=400.0, employee_name=Pappu, transaction_date=2026-10-08, transaction_type=payment)</t>
  </si>
  <si>
    <t xml:space="preserve">2</t>
  </si>
  <si>
    <t xml:space="preserve">employee_transaction(employee_name=Pappu, transaction_type=payment, amount=400, date=T)</t>
  </si>
  <si>
    <t xml:space="preserve">″</t>
  </si>
  <si>
    <t xml:space="preserve">F2-EMP-06</t>
  </si>
  <si>
    <t xml:space="preserve">sohan ko saade teen sau thama diye dopahar mein</t>
  </si>
  <si>
    <t xml:space="preserve">employee_transaction(employee_name=Sohan, transaction_type=payment, amount=350, date=T)</t>
  </si>
  <si>
    <t xml:space="preserve">employee_transaction(amount=350.0, employee_name=Sohan, transaction_date=2026-10-08, transaction_type=payment)</t>
  </si>
  <si>
    <t xml:space="preserve">F2-EMP-07</t>
  </si>
  <si>
    <t xml:space="preserve">Naresh aaj aaya aur 600 le gaya</t>
  </si>
  <si>
    <t xml:space="preserve">attendance(employee_name=Naresh, attendance=P, date=T)</t>
  </si>
  <si>
    <t xml:space="preserve">attendance(driving=absent, attendance=P, employee_name=Naresh, attendance_date=2026-10-08)</t>
  </si>
  <si>
    <t xml:space="preserve">employee_transaction(employee_name=Naresh, transaction_type=payment, amount=600, date=T)</t>
  </si>
  <si>
    <t xml:space="preserve">F2-EMP-08</t>
  </si>
  <si>
    <t xml:space="preserve">Pappu ko agle hafte 500 denge</t>
  </si>
  <si>
    <t xml:space="preserve">NO-ENTRY</t>
  </si>
  <si>
    <t xml:space="preserve">F2-EMP-09</t>
  </si>
  <si>
    <t xml:space="preserve">Naresh ne aaj gudam pe chaukhat saaf ki, 500 banta hai</t>
  </si>
  <si>
    <t xml:space="preserve">employee_transaction(employee_name=Naresh, transaction_type=work, amount=500, date=T)</t>
  </si>
  <si>
    <t xml:space="preserve">employee_transaction(note=gudam pe chaukhat saaf ki, amount=500.0, employee_name=Naresh, transaction_date=2026-10-08, transaction_type=work)</t>
  </si>
  <si>
    <t xml:space="preserve">F2-EMP-10</t>
  </si>
  <si>
    <t xml:space="preserve">Ram lunch ke baad nikal gaya aaj, aadha din hi raha</t>
  </si>
  <si>
    <t xml:space="preserve">attendance(employee_name=Ram, attendance=half, date=T)</t>
  </si>
  <si>
    <t xml:space="preserve">attendance(driving=absent, attendance=half, employee_name=Ram, attendance_date=2026-10-08)</t>
  </si>
  <si>
    <t xml:space="preserve">F2-EMP-11</t>
  </si>
  <si>
    <t xml:space="preserve">Pappu ko 1000 advance de diye shaadi ke liye</t>
  </si>
  <si>
    <t xml:space="preserve">employee_transaction(employee_name=Pappu, transaction_type=payment, amount=1000, date=T)</t>
  </si>
  <si>
    <t xml:space="preserve">employee_transaction(note=advance de diye shaadi ke liye, amount=1000.0, employee_name=Pappu, transaction_date=2026-10-08, transaction_type=payment)</t>
  </si>
  <si>
    <t xml:space="preserve">F2-EMP-12</t>
  </si>
  <si>
    <t xml:space="preserve">Kitanu ko aaj 250 kharche ke diye</t>
  </si>
  <si>
    <t xml:space="preserve">employee_transaction(employee_name=Kitanu, transaction_type=payment, amount=250, date=T)</t>
  </si>
  <si>
    <t xml:space="preserve">employee_transaction(note=kharche ke diye, amount=250.0, employee_name=Kitanu, transaction_date=2026-10-08, transaction_type=payment)</t>
  </si>
  <si>
    <t xml:space="preserve">F2-EMP-13</t>
  </si>
  <si>
    <t xml:space="preserve">Naresh ki aaj chhutti rahi</t>
  </si>
  <si>
    <t xml:space="preserve">attendance(employee_name=Naresh, attendance=absent, date=T)</t>
  </si>
  <si>
    <t xml:space="preserve">attendance(note=chhutti rahi, driving=absent, attendance=absent, employee_name=Naresh, attendance_date=2026-10-08)</t>
  </si>
  <si>
    <t xml:space="preserve">F2-EMP-14</t>
  </si>
  <si>
    <t xml:space="preserve">pappu kal aadha din aaya tha, aaj poora</t>
  </si>
  <si>
    <t xml:space="preserve">attendance(employee_name=Pappu, attendance=half, date=T-1)</t>
  </si>
  <si>
    <t xml:space="preserve">attendance(driving=absent, attendance=half, employee_name=Pappu, attendance_date=2026-10-07); attendance(driving=absent, attendance=P, employee_name=Pappu, attendance_date=2026-10-08)</t>
  </si>
  <si>
    <t xml:space="preserve">attendance(employee_name=Pappu, attendance=P, date=T)</t>
  </si>
  <si>
    <t xml:space="preserve">F2-EMP-15</t>
  </si>
  <si>
    <t xml:space="preserve">Naresh ko kuch paise de diye</t>
  </si>
  <si>
    <t xml:space="preserve">ASK</t>
  </si>
  <si>
    <t xml:space="preserve">employee_transaction(employee_name=Naresh, transaction_type=payment, date=T)</t>
  </si>
  <si>
    <t xml:space="preserve">(no entry) | asked: missing_argument</t>
  </si>
  <si>
    <t xml:space="preserve">record_employee_transaction: asked missing_argument:record_employee_transaction ['amount']</t>
  </si>
  <si>
    <t xml:space="preserve">F2-CUS-01</t>
  </si>
  <si>
    <t xml:space="preserve">Dalbir ko 12 purani khidkiyan 6000 mein bechi</t>
  </si>
  <si>
    <t xml:space="preserve">sale_transaction(customer_name=Dalbir, item_name=khidki, quantity=12, amount=6000, date=T)</t>
  </si>
  <si>
    <t xml:space="preserve">(no entry) | asked: material_movement, material_movement, missing_argument</t>
  </si>
  <si>
    <t xml:space="preserve">record_sale_transaction: asked missing_argument:record_sale_transaction ['amount']</t>
  </si>
  <si>
    <t xml:space="preserve">F2-CUS-02</t>
  </si>
  <si>
    <t xml:space="preserve">Kuldeep ji ne 4500 bheje PhonePe se</t>
  </si>
  <si>
    <t xml:space="preserve">sale_payment(customer_name=Kuldeep ji, amount=4500, date=T)</t>
  </si>
  <si>
    <t xml:space="preserve">sale_payment(amount=4500.0, payment_date=2026-10-08, customer_name=Kuldeep ji)</t>
  </si>
  <si>
    <t xml:space="preserve">F2-CUS-03</t>
  </si>
  <si>
    <t xml:space="preserve">Gudam se 2000 eent Sharma ji ke plot pe gayi, 6 ka rate</t>
  </si>
  <si>
    <t xml:space="preserve">sale_transaction(customer_name=Sharma ji, item_name=eent, quantity=2000, rate=6, amount=12000, source=gudam, date=T)</t>
  </si>
  <si>
    <t xml:space="preserve">sale_transaction(rate=6.0, unit=piece, amount=12000.0, source=Gudam, quantity=2000.0, item_name=eent, sale_date=2026-10-08, customer_name=Sharma ji, destination_name=plot, update_inventory=True)</t>
  </si>
  <si>
    <t xml:space="preserve">F2-CUS-04</t>
  </si>
  <si>
    <t xml:space="preserve">Dalbir pe pehle ka 3500 nikalta hai</t>
  </si>
  <si>
    <t xml:space="preserve">opening_balance(party_name=Dalbir, amount=3500, direction=lena)</t>
  </si>
  <si>
    <t xml:space="preserve">(no entry) | asked: correction</t>
  </si>
  <si>
    <t xml:space="preserve">record_opening_balance: asked correction: </t>
  </si>
  <si>
    <t xml:space="preserve">F2-CUS-05</t>
  </si>
  <si>
    <t xml:space="preserve">Suresh Traders 5 shahteer le gaye 10000 ke, 4000 de gaye</t>
  </si>
  <si>
    <t xml:space="preserve">sale_transaction(customer_name=Suresh Traders, item_name=shahteer, quantity=5, amount=10000, date=T)</t>
  </si>
  <si>
    <t xml:space="preserve">sale_transaction(amount=10000.0, quantity=5.0, item_name=shahteer, sale_date=2026-10-08, customer_name=Suresh Traders, supplier_name=Suresh Traders, update_inventory=True); sale_payment(amount=4000.0, payment_date=2026-10-08, customer_name=Suresh Traders)</t>
  </si>
  <si>
    <t xml:space="preserve">sale_payment(customer_name=Suresh Traders, amount=4000, date=T)</t>
  </si>
  <si>
    <t xml:space="preserve">F2-CUS-06</t>
  </si>
  <si>
    <t xml:space="preserve">kuldeep ji ko dhai hazaar ki ek purani almari di</t>
  </si>
  <si>
    <t xml:space="preserve">sale_transaction(customer_name=Kuldeep ji, item_name=almari, quantity=1, amount=2500, date=T)</t>
  </si>
  <si>
    <t xml:space="preserve">sale_transaction(amount=2500.0, item_name=purani almari, sale_date=2026-10-08, customer_name=kuldeep ji, update_inventory=True) | asked: material_movement, material_movement</t>
  </si>
  <si>
    <t xml:space="preserve">record_sale_transaction: quantity 0.0≠1</t>
  </si>
  <si>
    <t xml:space="preserve">F2-CUS-07</t>
  </si>
  <si>
    <t xml:space="preserve">Dalbir 300 eent le gaya</t>
  </si>
  <si>
    <t xml:space="preserve">sale_transaction(customer_name=Dalbir, item_name=eent, quantity=300, date=T)</t>
  </si>
  <si>
    <t xml:space="preserve">(no entry) | asked: material_movement, material_movement</t>
  </si>
  <si>
    <t xml:space="preserve">record_sale_transaction: no entry, no question (route=accounting)</t>
  </si>
  <si>
    <t xml:space="preserve">F2-CUS-08</t>
  </si>
  <si>
    <t xml:space="preserve">Sharma ji ne bola hai parso tak 5000 pahuncha denge</t>
  </si>
  <si>
    <t xml:space="preserve">F2-CUS-09</t>
  </si>
  <si>
    <t xml:space="preserve">Kuldeep ji ko 20 balli 6000 mein di, gudam se</t>
  </si>
  <si>
    <t xml:space="preserve">sale_transaction(customer_name=Kuldeep ji, item_name=balli, quantity=20, amount=6000, source=gudam, date=T)</t>
  </si>
  <si>
    <t xml:space="preserve">(no entry) | asked: material_movement</t>
  </si>
  <si>
    <t xml:space="preserve">F2-CUS-10</t>
  </si>
  <si>
    <t xml:space="preserve">Dalbir ne purane 1500 de diye</t>
  </si>
  <si>
    <t xml:space="preserve">sale_payment(customer_name=Dalbir, amount=1500, date=T)</t>
  </si>
  <si>
    <t xml:space="preserve">sale_payment(note=purane, amount=1500.0, payment_date=2026-10-08, customer_name=Dalbir)</t>
  </si>
  <si>
    <t xml:space="preserve">F2-CUS-11</t>
  </si>
  <si>
    <t xml:space="preserve">Sharma ji ko 4 girder 16000 ke diye, 10000 aaye</t>
  </si>
  <si>
    <t xml:space="preserve">sale_transaction(customer_name=Sharma ji, item_name=girder, quantity=4, amount=16000, date=T)</t>
  </si>
  <si>
    <t xml:space="preserve">sale_transaction(amount=16000.0, quantity=4.0, item_name=girder, sale_date=2026-10-08, customer_name=Sharma ji, supplier_name=Sharma ji, update_inventory=True); sale_payment(amount=10000.0, payment_date=2026-10-08, customer_name=Sharma ji)</t>
  </si>
  <si>
    <t xml:space="preserve">sale_payment(customer_name=Sharma ji, amount=10000, date=T)</t>
  </si>
  <si>
    <t xml:space="preserve">F2-CUS-12</t>
  </si>
  <si>
    <t xml:space="preserve">Kuldeep ji ka 2000 aaya</t>
  </si>
  <si>
    <t xml:space="preserve">sale_payment(customer_name=Kuldeep ji, amount=2000, date=T)</t>
  </si>
  <si>
    <t xml:space="preserve">sale_payment(amount=2000.0, payment_date=2026-10-08, customer_name=Kuldeep ji)</t>
  </si>
  <si>
    <t xml:space="preserve">F2-CUS-13</t>
  </si>
  <si>
    <t xml:space="preserve">Satbir paanch sau eent le gaya teen hazaar ki</t>
  </si>
  <si>
    <t xml:space="preserve">sale_transaction(customer_name=Satbir, item_name=eent, quantity=500, amount=3000, date=T)</t>
  </si>
  <si>
    <t xml:space="preserve">F2-CUS-14</t>
  </si>
  <si>
    <t xml:space="preserve">dalbir ko sava sau eent saade paanch ke rate se</t>
  </si>
  <si>
    <t xml:space="preserve">sale_transaction(customer_name=Dalbir, item_name=eent, quantity=125, rate=5.5, amount=687.5, date=T)</t>
  </si>
  <si>
    <t xml:space="preserve">sale_transaction(rate=5.0, amount=3750.0, quantity=750.0, item_name=eent, sale_date=2026-10-08, customer_name=Dalbir, update_inventory=True) | asked: material_movement, material_movement</t>
  </si>
  <si>
    <t xml:space="preserve">record_sale_transaction: amount 3750.0≠687.5; quantity 750.0≠125; rate 5.0≠5.5</t>
  </si>
  <si>
    <t xml:space="preserve">F2-CUS-15</t>
  </si>
  <si>
    <t xml:space="preserve">Dalbir se 1000 aaye, aur Sharma ji 300 eent 1800 mein le gaye</t>
  </si>
  <si>
    <t xml:space="preserve">sale_payment(customer_name=Dalbir, amount=1000, date=T)</t>
  </si>
  <si>
    <t xml:space="preserve">sale_payment(amount=1000.0, payment_date=2026-10-08, customer_name=Dalbir); sale_transaction(amount=1800.0, quantity=300.0, item_name=eent, sale_date=2026-10-08, customer_name=Sharma ji, update_inventory=True) | asked: material_movement</t>
  </si>
  <si>
    <t xml:space="preserve">sale_transaction(customer_name=Sharma ji, item_name=eent, quantity=300, amount=1800, date=T)</t>
  </si>
  <si>
    <t xml:space="preserve">F2-SUP-01</t>
  </si>
  <si>
    <t xml:space="preserve">Hanuman bhatte se 4000 eent gudam aayi, 6.5 ka rate</t>
  </si>
  <si>
    <t xml:space="preserve">supplier_transaction(supplier_name=Hanuman, item_name=eent, quantity=4000, rate=6.5, amount=26000, destination_location=gudam, date=T)</t>
  </si>
  <si>
    <t xml:space="preserve">supplier_transaction(rate=6.5, unit=kg, amount=26000.0, quantity=4000.0, item_name=eent, supplier_name=Hanuman bhatte, transaction_date=2026-10-08, destination_location=Gudam) | asked: material_movement</t>
  </si>
  <si>
    <t xml:space="preserve">F2-SUP-02</t>
  </si>
  <si>
    <t xml:space="preserve">Garg timber wale ko 12000 cheque diya</t>
  </si>
  <si>
    <t xml:space="preserve">supplier_payment(supplier_name=Garg timber, amount=12000, date=T)</t>
  </si>
  <si>
    <t xml:space="preserve">supplier_payment(note=cheque, amount=12000.0, payment_date=2026-10-08, supplier_name=Garg)</t>
  </si>
  <si>
    <t xml:space="preserve">F2-SUP-03</t>
  </si>
  <si>
    <t xml:space="preserve">SBI se 2500 eent dukaan pe utri 17500 ki, Kitanu laya</t>
  </si>
  <si>
    <t xml:space="preserve">supplier_transaction(supplier_name=SBI Bhatta, item_name=eent, quantity=2500, amount=17500, destination_location=shop, driver_name=Kitanu, date=T)</t>
  </si>
  <si>
    <t xml:space="preserve">supplier_transaction(amount=17500.0, quantity=2500.0, item_name=eent, driver_name=Kitanu, supplier_name=SBI Bhatta, transaction_date=2026-10-08, destination_location=Dukaan)</t>
  </si>
  <si>
    <t xml:space="preserve">F2-SUP-04</t>
  </si>
  <si>
    <t xml:space="preserve">Garg timber se 40 balli aayi 8000 ki, gudam mein</t>
  </si>
  <si>
    <t xml:space="preserve">supplier_transaction(supplier_name=Garg timber, item_name=balli, quantity=40, amount=8000, destination_location=gudam, date=T)</t>
  </si>
  <si>
    <t xml:space="preserve">supplier_transaction(amount=8000.0, quantity=40.0, item_name=balli, supplier_name=Garg timber, transaction_date=2026-10-08, destination_location=Gudam) | asked: material_movement</t>
  </si>
  <si>
    <t xml:space="preserve">F2-SUP-05</t>
  </si>
  <si>
    <t xml:space="preserve">Hanuman bhatte ke 20000 purane dene hain</t>
  </si>
  <si>
    <t xml:space="preserve">opening_balance(party_name=Hanuman, amount=20000, direction=dena)</t>
  </si>
  <si>
    <t xml:space="preserve">opening_balance(amount=20000.0, direction=dena, as_of_date=2026-10-08, party_name=Hanuman bhatte, party_type=supplier)</t>
  </si>
  <si>
    <t xml:space="preserve">F2-SUP-06</t>
  </si>
  <si>
    <t xml:space="preserve">hanuman wale ko aath hazaar online kar diye</t>
  </si>
  <si>
    <t xml:space="preserve">supplier_payment(supplier_name=Hanuman, amount=8000, date=T)</t>
  </si>
  <si>
    <t xml:space="preserve">supplier_payment(amount=8000.0, payment_date=2026-10-08, supplier_name=hanuman)</t>
  </si>
  <si>
    <t xml:space="preserve">F2-SUP-07</t>
  </si>
  <si>
    <t xml:space="preserve">Garg timber se 25 phatte aaye 5000 ke, poore de diye</t>
  </si>
  <si>
    <t xml:space="preserve">supplier_transaction(supplier_name=Garg timber, item_name=phatta, quantity=25, amount=5000, date=T)</t>
  </si>
  <si>
    <t xml:space="preserve">supplier_transaction(amount=5000.0, quantity=25.0, item_name=phatte, supplier_name=Garg timber, transaction_date=2026-10-08); supplier_payment(note=poore de diye, amount=5000.0, payment_date=2026-10-08, supplier_name=Garg timber) | asked: material_movement, material_movement</t>
  </si>
  <si>
    <t xml:space="preserve">supplier_payment(supplier_name=Garg timber, amount=5000, date=T)</t>
  </si>
  <si>
    <t xml:space="preserve">F2-SUP-08</t>
  </si>
  <si>
    <t xml:space="preserve">SBI wale bol rahe the rate badhega agle hafte</t>
  </si>
  <si>
    <t xml:space="preserve">F2-SUP-09</t>
  </si>
  <si>
    <t xml:space="preserve">SBI se 3000 eent shop pe aayi 21000 ki</t>
  </si>
  <si>
    <t xml:space="preserve">supplier_transaction(supplier_name=SBI Bhatta, item_name=eent, quantity=3000, amount=21000, destination_location=shop, date=T)</t>
  </si>
  <si>
    <t xml:space="preserve">supplier_transaction(amount=21000.0, quantity=3000.0, item_name=eent, supplier_name=SBI Bhatta, transaction_date=2026-10-08, destination_location=Shop)</t>
  </si>
  <si>
    <t xml:space="preserve">F2-SUP-10</t>
  </si>
  <si>
    <t xml:space="preserve">Garg timber ka 6000 ka hisab chuka diya</t>
  </si>
  <si>
    <t xml:space="preserve">supplier_payment(supplier_name=Garg timber, amount=6000, date=T)</t>
  </si>
  <si>
    <t xml:space="preserve">supplier_payment(note=ka hisab chuka diya, amount=6000.0, payment_date=2026-10-08, supplier_name=Garg timber)</t>
  </si>
  <si>
    <t xml:space="preserve">F2-SUP-11</t>
  </si>
  <si>
    <t xml:space="preserve">Hanuman bhatte se 2 trolley rodi gudam aayi 9000 ki</t>
  </si>
  <si>
    <t xml:space="preserve">supplier_transaction(supplier_name=Hanuman, item_name=rodi, quantity=2, unit=trolley, amount=9000, destination_location=gudam, date=T)</t>
  </si>
  <si>
    <t xml:space="preserve">supplier_transaction(unit=trolley, amount=9000.0, quantity=2.0, item_name=rodi, supplier_name=Hanuman bhatte, transaction_date=2026-10-08, destination_location=Gudam) | asked: material_movement</t>
  </si>
  <si>
    <t xml:space="preserve">F2-SUP-12</t>
  </si>
  <si>
    <t xml:space="preserve">Hanuman bhatte wale ka 5000 online kar diya</t>
  </si>
  <si>
    <t xml:space="preserve">supplier_payment(supplier_name=Hanuman, amount=5000, date=T)</t>
  </si>
  <si>
    <t xml:space="preserve">supplier_payment(amount=5000.0, payment_date=2026-10-08, supplier_name=Hanuman bhatta)</t>
  </si>
  <si>
    <t xml:space="preserve">F2-SUP-13</t>
  </si>
  <si>
    <t xml:space="preserve">SBI wale ko 15000 ka cheque diya</t>
  </si>
  <si>
    <t xml:space="preserve">supplier_payment(supplier_name=SBI Bhatta, amount=15000, date=T)</t>
  </si>
  <si>
    <t xml:space="preserve">supplier_payment(note=cheque diya, amount=15000.0, payment_date=2026-10-08, supplier_name=SBI)</t>
  </si>
  <si>
    <t xml:space="preserve">F2-SUP-14</t>
  </si>
  <si>
    <t xml:space="preserve">garg wale se dedh sau phatte aaye, sau rupaye ka ek, dukaan pe</t>
  </si>
  <si>
    <t xml:space="preserve">supplier_transaction(supplier_name=Garg timber, item_name=phatta, quantity=150, rate=100, amount=15000, destination_location=shop, date=T)</t>
  </si>
  <si>
    <t xml:space="preserve">supplier_transaction(rate=100.0, amount=15000.0, quantity=150.0, item_name=phatte, supplier_name=garg, transaction_date=2026-10-08, destination_location=Dukaan) | asked: material_movement</t>
  </si>
  <si>
    <t xml:space="preserve">F2-SUP-15</t>
  </si>
  <si>
    <t xml:space="preserve">Hanuman wale ki gaadi aayi thi eent lekar</t>
  </si>
  <si>
    <t xml:space="preserve">supplier_transaction(supplier_name=Hanuman, item_name=eent, date=T)</t>
  </si>
  <si>
    <t xml:space="preserve">supplier_transaction(note=gaadi aayi thi, item_name=eent, supplier_name=Hanuman, transaction_date=2026-10-08) | asked: material_movement, material_movement</t>
  </si>
  <si>
    <t xml:space="preserve">record_supplier_transaction: recorded instead of asking (values guessed)</t>
  </si>
  <si>
    <t xml:space="preserve">F2-EXP-01</t>
  </si>
  <si>
    <t xml:space="preserve">Dumper chalane ko 3000 ka tel daalwa diya pump pe</t>
  </si>
  <si>
    <t xml:space="preserve">expense(category=fuel, amount=3000, date=T)</t>
  </si>
  <si>
    <t xml:space="preserve">expense(note=pump pe, amount=3000.0, category=fuel, description=tel daalwa, expense_date=2026-10-08); expense_payment(note=pump pe, amount=3000.0, description=tel daalwa, payment_date=2026-10-08)</t>
  </si>
  <si>
    <t xml:space="preserve">expense_payment(amount=3000, date=T)</t>
  </si>
  <si>
    <t xml:space="preserve">F2-EXP-02</t>
  </si>
  <si>
    <t xml:space="preserve">Gudam ki tubelight aur wire 450 ki aayi</t>
  </si>
  <si>
    <t xml:space="preserve">expense(category=misc, amount=450, date=T)</t>
  </si>
  <si>
    <t xml:space="preserve">record_expense: no entry, no question (route=accounting) · record_expense_payment: no entry, no question (route=accounting)</t>
  </si>
  <si>
    <t xml:space="preserve">expense_payment(amount=450, date=T)</t>
  </si>
  <si>
    <t xml:space="preserve">F2-EXP-03</t>
  </si>
  <si>
    <t xml:space="preserve">Hydra 2 ghante lagi Dhani wali site pe, 2400 diye</t>
  </si>
  <si>
    <t xml:space="preserve">expense(category=rent, amount=2400, date=T)</t>
  </si>
  <si>
    <t xml:space="preserve">record_expense: asked missing_argument:record_employee_transaction ['amount'] · record_expense_payment: asked missing_argument:record_employee_transaction ['amount']</t>
  </si>
  <si>
    <t xml:space="preserve">expense_payment(amount=2400, date=T)</t>
  </si>
  <si>
    <t xml:space="preserve">F2-EXP-04</t>
  </si>
  <si>
    <t xml:space="preserve">Gudam ka kiraya 7000 de diya is mahine ka</t>
  </si>
  <si>
    <t xml:space="preserve">expense(category=rent, amount=7000, date=T)</t>
  </si>
  <si>
    <t xml:space="preserve">expense(note=is mahine ka, amount=7000.0, category=rent, description=kiraya, expense_date=2026-10-08); expense_payment(note=is mahine ka, amount=7000.0, description=kiraya, payment_date=2026-10-08)</t>
  </si>
  <si>
    <t xml:space="preserve">expense_payment(amount=7000, date=T)</t>
  </si>
  <si>
    <t xml:space="preserve">F2-EXP-05</t>
  </si>
  <si>
    <t xml:space="preserve">Trolley ki welding karwayi 600 mein</t>
  </si>
  <si>
    <t xml:space="preserve">expense(category=repair, amount=600, date=T)</t>
  </si>
  <si>
    <t xml:space="preserve">expense(amount=600.0, category=repair, description=Trolley ki welding, expense_date=2026-10-08); expense_payment(amount=600.0, description=trolley ki welding, payment_date=2026-10-08)</t>
  </si>
  <si>
    <t xml:space="preserve">expense_payment(amount=600, date=T)</t>
  </si>
  <si>
    <t xml:space="preserve">F2-EXP-06</t>
  </si>
  <si>
    <t xml:space="preserve">chai paani mein aaj dedh sau gaye</t>
  </si>
  <si>
    <t xml:space="preserve">expense(category=misc, amount=150, date=T)</t>
  </si>
  <si>
    <t xml:space="preserve">expense(amount=150.0, category=misc, description=chai paani, expense_date=2026-10-08); expense_payment(amount=150.0, description=chai paani, payment_date=2026-10-08)</t>
  </si>
  <si>
    <t xml:space="preserve">expense_payment(amount=150, date=T)</t>
  </si>
  <si>
    <t xml:space="preserve">F2-EXP-07</t>
  </si>
  <si>
    <t xml:space="preserve">Generator theek karwaya</t>
  </si>
  <si>
    <t xml:space="preserve">asked/stopped: missing_argument: record_expense ['amount']</t>
  </si>
  <si>
    <t xml:space="preserve">F2-EXP-08</t>
  </si>
  <si>
    <t xml:space="preserve">Agle hafte malba uthwane ko hydra mangwani padegi</t>
  </si>
  <si>
    <t xml:space="preserve">F2-EXP-09</t>
  </si>
  <si>
    <t xml:space="preserve">Tractor ka filter badalwaya 800 ka</t>
  </si>
  <si>
    <t xml:space="preserve">expense(category=repair, amount=800, date=T)</t>
  </si>
  <si>
    <t xml:space="preserve">expense(amount=800.0, category=repair, description=Tractor ka filter badalwaya, expense_date=2026-10-08); expense_payment(amount=800.0, description=tractor ka filter badalwaya, payment_date=2026-10-08)</t>
  </si>
  <si>
    <t xml:space="preserve">expense_payment(amount=800, date=T)</t>
  </si>
  <si>
    <t xml:space="preserve">F2-EXP-10</t>
  </si>
  <si>
    <t xml:space="preserve">Bijli daftar mein dukaan ka 1900 bhara</t>
  </si>
  <si>
    <t xml:space="preserve">expense(category=misc, amount=1900, date=T)</t>
  </si>
  <si>
    <t xml:space="preserve">expense(amount=1900.0, category=misc, description=bijli daftar mein dukaan ka, expense_date=2026-10-08); expense_payment(amount=1900.0, description=dukaan ka, payment_date=2026-10-08)</t>
  </si>
  <si>
    <t xml:space="preserve">expense_payment(amount=1900, date=T)</t>
  </si>
  <si>
    <t xml:space="preserve">F2-EXP-11</t>
  </si>
  <si>
    <t xml:space="preserve">JCB ka 3 ghante ka 2700 diya Kalanaur site pe</t>
  </si>
  <si>
    <t xml:space="preserve">expense(category=rent, amount=2700, date=T)</t>
  </si>
  <si>
    <t xml:space="preserve">employee_transaction(note=JCB ka 3 ghante ka Kalanaur site pe, amount=2700.0, employee_name=Kalanaur, transaction_date=2026-10-08, transaction_type=payment)</t>
  </si>
  <si>
    <t xml:space="preserve">record_expense: no entry, no question (route=accounting) · record_expense_payment: no entry, no question (route=accounting) · EXTRA entry: record_employee_transaction Kalanaur 2700.0</t>
  </si>
  <si>
    <t xml:space="preserve">expense_payment(amount=2700, date=T)</t>
  </si>
  <si>
    <t xml:space="preserve">3</t>
  </si>
  <si>
    <t xml:space="preserve">(extra entry)</t>
  </si>
  <si>
    <t xml:space="preserve">F2-EXP-12</t>
  </si>
  <si>
    <t xml:space="preserve">Petrol 300 ka</t>
  </si>
  <si>
    <t xml:space="preserve">expense(category=fuel, amount=300, date=T)</t>
  </si>
  <si>
    <t xml:space="preserve">expense(amount=300.0, category=fuel, description=petrol, expense_date=2026-10-08); expense_payment(amount=300.0, description=petrol, payment_date=2026-10-08)</t>
  </si>
  <si>
    <t xml:space="preserve">expense_payment(amount=300, date=T)</t>
  </si>
  <si>
    <t xml:space="preserve">F2-EXP-13</t>
  </si>
  <si>
    <t xml:space="preserve">Chai 120 ki</t>
  </si>
  <si>
    <t xml:space="preserve">expense(category=misc, amount=120, date=T)</t>
  </si>
  <si>
    <t xml:space="preserve">expense(amount=120.0, category=misc, description=Chai, expense_date=2026-10-08); expense_payment(amount=120.0, description=chai, payment_date=2026-10-08)</t>
  </si>
  <si>
    <t xml:space="preserve">expense_payment(amount=120, date=T)</t>
  </si>
  <si>
    <t xml:space="preserve">F2-EXP-14</t>
  </si>
  <si>
    <t xml:space="preserve">gudam ke taale ki chaabi banwayi, pachaas lage</t>
  </si>
  <si>
    <t xml:space="preserve">expense(category=misc, amount=50, date=T)</t>
  </si>
  <si>
    <t xml:space="preserve">expense(amount=50.0, category=misc, description=gudam ke taale ki chaabi banwayi, expense_date=2026-10-08); expense_payment(amount=50.0, description=gudam ke taale ki chaabi banwayi, payment_date=2026-10-08)</t>
  </si>
  <si>
    <t xml:space="preserve">expense_payment(amount=50, date=T)</t>
  </si>
  <si>
    <t xml:space="preserve">F2-EXP-15</t>
  </si>
  <si>
    <t xml:space="preserve">Diesel 1500 ka aur tyre puncture 200 ka</t>
  </si>
  <si>
    <t xml:space="preserve">expense(category=fuel, amount=1500, date=T)</t>
  </si>
  <si>
    <t xml:space="preserve">expense(amount=1500.0, category=fuel, description=diesel, expense_date=2026-10-08); expense_payment(amount=1500.0, description=diesel, payment_date=2026-10-08); expense(amount=200.0, category=repair, description=tyre puncture, expense_date=2026-10-08); expense_payment(amount=200.0, description=tyre puncture, payment_date=2026-10-08)</t>
  </si>
  <si>
    <t xml:space="preserve">expense_payment(amount=1500, date=T)</t>
  </si>
  <si>
    <t xml:space="preserve">expense(category=repair, amount=200, date=T)</t>
  </si>
  <si>
    <t xml:space="preserve">4</t>
  </si>
  <si>
    <t xml:space="preserve">expense_payment(amount=200, date=T)</t>
  </si>
  <si>
    <t xml:space="preserve">F2-FAM-01</t>
  </si>
  <si>
    <t xml:space="preserve">Mummy ko doodh wale ke 900 diye</t>
  </si>
  <si>
    <t xml:space="preserve">family_transaction(transaction_type=kharcha, amount=900, date=T, member_name=Mummy)</t>
  </si>
  <si>
    <t xml:space="preserve">family_transaction(amount=900.0, purpose=doodh wale ke, member_name=Mummy, transaction_date=2026-10-08, transaction_type=kharcha)</t>
  </si>
  <si>
    <t xml:space="preserve">F2-FAM-02</t>
  </si>
  <si>
    <t xml:space="preserve">Bhai galle se 2500 le gaya bike ki kisht ke liye</t>
  </si>
  <si>
    <t xml:space="preserve">family_transaction(transaction_type=kharcha, amount=2500, date=T, member_name=Bhai)</t>
  </si>
  <si>
    <t xml:space="preserve">family_transaction(amount=2500.0, purpose=bike ki kisht ke liye, member_name=Bhai, transaction_date=2026-10-08, transaction_type=kharcha)</t>
  </si>
  <si>
    <t xml:space="preserve">F2-FAM-03</t>
  </si>
  <si>
    <t xml:space="preserve">Galle mein Papa 10 hazaar rakh gaye</t>
  </si>
  <si>
    <t xml:space="preserve">family_transaction(transaction_type=jama, amount=10000, date=T, member_name=Papa)</t>
  </si>
  <si>
    <t xml:space="preserve">family_transaction(note=Galle mein rakh gaye, amount=10000.0, member_name=Papa, transaction_date=2026-10-08, transaction_type=jama)</t>
  </si>
  <si>
    <t xml:space="preserve">F2-FAM-04</t>
  </si>
  <si>
    <t xml:space="preserve">Beti ki school fees 6500 bhar di</t>
  </si>
  <si>
    <t xml:space="preserve">family_transaction(transaction_type=kharcha, amount=6500, date=T, member_name=Beti)</t>
  </si>
  <si>
    <t xml:space="preserve">family_transaction(amount=6500.0, purpose=school fees, member_name=Beti, transaction_date=2026-10-08, transaction_type=kharcha)</t>
  </si>
  <si>
    <t xml:space="preserve">F2-FAM-05</t>
  </si>
  <si>
    <t xml:space="preserve">Ghar ki gas khatam thi, nayi tanki 1050 mein bharwayi</t>
  </si>
  <si>
    <t xml:space="preserve">family_transaction(transaction_type=kharcha, amount=1050, date=T)</t>
  </si>
  <si>
    <t xml:space="preserve">expense(amount=1050.0, category=fuel, description=nayi tanki, expense_date=2026-10-08); expense_payment(amount=1050.0, description=nayi tanki, payment_date=2026-10-08)</t>
  </si>
  <si>
    <t xml:space="preserve">record_family_transaction: no entry, no question (route=accounting) · EXTRA entry: record_expense  1050.0</t>
  </si>
  <si>
    <t xml:space="preserve">F2-FAM-06</t>
  </si>
  <si>
    <t xml:space="preserve">chhote ko kitabon ke liye paanch sau pakda diye</t>
  </si>
  <si>
    <t xml:space="preserve">family_transaction(transaction_type=kharcha, amount=500, date=T, member_name=Chhote)</t>
  </si>
  <si>
    <t xml:space="preserve">family_transaction(amount=500.0, purpose=kitabon ke liye, member_name=chhote, transaction_date=2026-10-08, transaction_type=kharcha)</t>
  </si>
  <si>
    <t xml:space="preserve">F2-FAM-07</t>
  </si>
  <si>
    <t xml:space="preserve">Papa 2000 le gaye aur Mummy ne 500 wapas rakhe</t>
  </si>
  <si>
    <t xml:space="preserve">family_transaction(transaction_type=kharcha, amount=2000, date=T, member_name=Papa)</t>
  </si>
  <si>
    <t xml:space="preserve">family_transaction(amount=2000.0, member_name=Papa, transaction_date=2026-10-08, transaction_type=kharcha); family_transaction(amount=500.0, member_name=Mummy, transaction_date=2026-10-08, transaction_type=jama)</t>
  </si>
  <si>
    <t xml:space="preserve">family_transaction(transaction_type=jama, amount=500, date=T, member_name=Mummy)</t>
  </si>
  <si>
    <t xml:space="preserve">F2-FAM-08</t>
  </si>
  <si>
    <t xml:space="preserve">Diwali pe ghar ki safai karwani hai, 3000 lagenge</t>
  </si>
  <si>
    <t xml:space="preserve">family_transaction(note=Diwali pe, amount=3000.0, purpose=ghar ki safai, member_name=Ghar, transaction_date=2026-10-08, transaction_type=kharcha)</t>
  </si>
  <si>
    <t xml:space="preserve">entry made: record_family_transaction</t>
  </si>
  <si>
    <t xml:space="preserve">F2-FAM-09</t>
  </si>
  <si>
    <t xml:space="preserve">Mummy 1000 le gayi galle se</t>
  </si>
  <si>
    <t xml:space="preserve">family_transaction(transaction_type=kharcha, amount=1000, date=T, member_name=Mummy)</t>
  </si>
  <si>
    <t xml:space="preserve">family_transaction(note=le gayi galle se, amount=1000.0, member_name=Mummy, transaction_date=2026-10-08, transaction_type=kharcha)</t>
  </si>
  <si>
    <t xml:space="preserve">F2-FAM-10</t>
  </si>
  <si>
    <t xml:space="preserve">Papa ko 5000 diye mandi ke liye</t>
  </si>
  <si>
    <t xml:space="preserve">family_transaction(transaction_type=kharcha, amount=5000, date=T, member_name=Papa)</t>
  </si>
  <si>
    <t xml:space="preserve">family_transaction(amount=5000.0, purpose=mandi ke liye, member_name=Papa, transaction_date=2026-10-08, transaction_type=kharcha)</t>
  </si>
  <si>
    <t xml:space="preserve">F2-FAM-11</t>
  </si>
  <si>
    <t xml:space="preserve">Bhai apni jeb se 2000 laya, galle mein daal gaya</t>
  </si>
  <si>
    <t xml:space="preserve">family_transaction(transaction_type=jama, amount=2000, date=T, member_name=Bhai)</t>
  </si>
  <si>
    <t xml:space="preserve">record_family_transaction: asked missing_argument:record_family_transaction ['amount']</t>
  </si>
  <si>
    <t xml:space="preserve">F2-FAM-12</t>
  </si>
  <si>
    <t xml:space="preserve">Beti ko jeb kharch ke 200 diye</t>
  </si>
  <si>
    <t xml:space="preserve">family_transaction(transaction_type=kharcha, amount=200, date=T, member_name=Beti)</t>
  </si>
  <si>
    <t xml:space="preserve">family_transaction(amount=200.0, member_name=Beti, transaction_date=2026-10-08, transaction_type=kharcha)</t>
  </si>
  <si>
    <t xml:space="preserve">F2-FAM-13</t>
  </si>
  <si>
    <t xml:space="preserve">Mahine bhar ka ghar ka saman 2500 mein aaya</t>
  </si>
  <si>
    <t xml:space="preserve">family_transaction(transaction_type=kharcha, amount=2500, date=T)</t>
  </si>
  <si>
    <t xml:space="preserve">record_family_transaction: no entry, no question (route=accounting)</t>
  </si>
  <si>
    <t xml:space="preserve">F2-FAM-14</t>
  </si>
  <si>
    <t xml:space="preserve">mummy ne galle se teen hazaar nikale dawai ke</t>
  </si>
  <si>
    <t xml:space="preserve">family_transaction(transaction_type=kharcha, amount=3000, date=T, member_name=Mummy)</t>
  </si>
  <si>
    <t xml:space="preserve">family_transaction(amount=3000.0, purpose=dawai, member_name=Mummy, transaction_date=2026-10-08, transaction_type=kharcha)</t>
  </si>
  <si>
    <t xml:space="preserve">F2-FAM-15</t>
  </si>
  <si>
    <t xml:space="preserve">Bhai ne galle se pata nahi kitne nikale</t>
  </si>
  <si>
    <t xml:space="preserve">no entry, no question (route=accounting)</t>
  </si>
  <si>
    <t xml:space="preserve">F2-STK-01</t>
  </si>
  <si>
    <t xml:space="preserve">Dhani site se 60 balli gudam aayi</t>
  </si>
  <si>
    <t xml:space="preserve">material_movement(item_name=balli, quantity=60, source_name=dhani, destination_name=gudam, date=T)</t>
  </si>
  <si>
    <t xml:space="preserve">material_movement(quantity=60.0, item_name=balli, source_name=Dhani site, source_type=site, movement_date=2026-10-08, destination_name=Gudam, destination_type=storage) | asked: material_movement</t>
  </si>
  <si>
    <t xml:space="preserve">F2-STK-02</t>
  </si>
  <si>
    <t xml:space="preserve">Gudam se dukaan 30 chaukhat bheji</t>
  </si>
  <si>
    <t xml:space="preserve">material_movement(item_name=chaukhat, quantity=30, source_name=gudam, destination_name=shop, date=T)</t>
  </si>
  <si>
    <t xml:space="preserve">material_movement(quantity=30.0, item_name=chaukhat, source_name=Gudam, source_type=storage, movement_date=2026-10-08, destination_name=Dukaan, destination_type=storage)</t>
  </si>
  <si>
    <t xml:space="preserve">F2-STK-03</t>
  </si>
  <si>
    <t xml:space="preserve">Kalanaur site pe 5 labour lage, chhat utaari</t>
  </si>
  <si>
    <t xml:space="preserve">work_log(location_type=site, location_name=kalanaur, labour_count=5, date=T)</t>
  </si>
  <si>
    <t xml:space="preserve">work_log(description=chhat utaari, labour_count=5, activity_date=2026-10-08, location_name=Kalanaur, location_type=site)</t>
  </si>
  <si>
    <t xml:space="preserve">F2-STK-04</t>
  </si>
  <si>
    <t xml:space="preserve">Dukaan pe 8 khidkiyan toot gayi</t>
  </si>
  <si>
    <t xml:space="preserve">adjustment(location=shop, item_name=khidki, quantity_change=-8, date=T)</t>
  </si>
  <si>
    <t xml:space="preserve">adjustment(unit=piece, reason=damage, location=dukaan, item_name=khidkiyan, adjustment_date=2026-10-08, quantity_change=-8.0)</t>
  </si>
  <si>
    <t xml:space="preserve">F2-STK-05</t>
  </si>
  <si>
    <t xml:space="preserve">Ginti karwayi to dukaan pe 12 darwaze kam pade</t>
  </si>
  <si>
    <t xml:space="preserve">adjustment(location=shop, item_name=darwaza, quantity_change=-12, date=T)</t>
  </si>
  <si>
    <t xml:space="preserve">work_log(note=12 darwaze kam pade, description=ginti karwayi, labour_count=12, activity_date=2026-10-08, location_name=dukaan, location_type=shop)</t>
  </si>
  <si>
    <t xml:space="preserve">record_adjustment: no entry, no question (route=accounting) · EXTRA entry: record_work_log  </t>
  </si>
  <si>
    <t xml:space="preserve">F2-STK-06</t>
  </si>
  <si>
    <t xml:space="preserve">dhani wali site se dedh sau eent gudm aayi</t>
  </si>
  <si>
    <t xml:space="preserve">material_movement(item_name=eent, quantity=150, source_name=dhani, destination_name=gudam, date=T)</t>
  </si>
  <si>
    <t xml:space="preserve">material_movement(quantity=150.0, item_name=eent, source_name=dhani wali site, source_type=site, movement_date=2026-10-08, destination_name=Gudam, destination_type=storage) | asked: material_movement</t>
  </si>
  <si>
    <t xml:space="preserve">F2-STK-07</t>
  </si>
  <si>
    <t xml:space="preserve">Gudam se 200 eent Kalanaur site gayi aur wahan 4 labour lage</t>
  </si>
  <si>
    <t xml:space="preserve">material_movement(item_name=eent, quantity=200, source_name=gudam, destination_name=kalanaur, date=T)</t>
  </si>
  <si>
    <t xml:space="preserve">work_log(description=labour lage, labour_count=4, activity_date=2026-10-08, location_name=Kalanaur, location_type=site) | asked: material_movement</t>
  </si>
  <si>
    <t xml:space="preserve">record_material_movement: no entry, no question (route=accounting)</t>
  </si>
  <si>
    <t xml:space="preserve">work_log(location_type=site, location_name=kalanaur, labour_count=4, date=T)</t>
  </si>
  <si>
    <t xml:space="preserve">F2-STK-08</t>
  </si>
  <si>
    <t xml:space="preserve">Parso tak dukaan ke liye kuch maal nikalna padega</t>
  </si>
  <si>
    <t xml:space="preserve">F2-STK-09</t>
  </si>
  <si>
    <t xml:space="preserve">Malba 4 trolley Kalanaur site se gudam pe utra</t>
  </si>
  <si>
    <t xml:space="preserve">material_movement(item_name=malba, quantity=4, source_name=kalanaur, destination_name=gudam, date=T)</t>
  </si>
  <si>
    <t xml:space="preserve">material_movement(unit=trolley, quantity=4.0, item_name=malba, source_name=Kalanaur site, source_type=site, movement_date=2026-10-08, movement_type=utra, destination_name=Gudam, destination_type=storage) | asked: material_movement</t>
  </si>
  <si>
    <t xml:space="preserve">F2-STK-10</t>
  </si>
  <si>
    <t xml:space="preserve">Dukaan se 50 khidkiyan gudam bheji</t>
  </si>
  <si>
    <t xml:space="preserve">material_movement(item_name=khidki, quantity=50, source_name=shop, destination_name=gudam, date=T)</t>
  </si>
  <si>
    <t xml:space="preserve">material_movement(quantity=50.0, item_name=khidkiyan, source_name=Dukaan, source_type=storage, movement_date=2026-10-08, movement_type=bheji, destination_name=Gudam, destination_type=storage)</t>
  </si>
  <si>
    <t xml:space="preserve">F2-STK-11</t>
  </si>
  <si>
    <t xml:space="preserve">Dhani wali site pe teen aadmi lagaye, chhat ka lintel toda</t>
  </si>
  <si>
    <t xml:space="preserve">work_log(location_type=site, location_name=dhani, labour_count=3, date=T)</t>
  </si>
  <si>
    <t xml:space="preserve">work_log(description=chhat ka lintel toda, labour_count=3, activity_date=2026-10-08, location_name=Dhani wali site, location_type=site)</t>
  </si>
  <si>
    <t xml:space="preserve">F2-STK-12</t>
  </si>
  <si>
    <t xml:space="preserve">Dukaan ke liye gudam se 100 eent nikaali</t>
  </si>
  <si>
    <t xml:space="preserve">material_movement(item_name=eent, quantity=100, source_name=gudam, destination_name=shop, date=T)</t>
  </si>
  <si>
    <t xml:space="preserve">material_movement(quantity=100.0, item_name=eent, source_name=Gudam, source_type=storage, movement_date=2026-10-08, movement_reason=nikaali, destination_name=Dukaan, destination_type=storage)</t>
  </si>
  <si>
    <t xml:space="preserve">F2-STK-13</t>
  </si>
  <si>
    <t xml:space="preserve">Gudam pe 6 chaukhat bekaar nikli</t>
  </si>
  <si>
    <t xml:space="preserve">adjustment(location=gudam, item_name=chaukhat, quantity_change=-6, date=T)</t>
  </si>
  <si>
    <t xml:space="preserve">adjustment(unit=piece, reason=damage, location=gudam, item_name=chaukhat, adjustment_date=2026-10-08, quantity_change=-6.0)</t>
  </si>
  <si>
    <t xml:space="preserve">F2-STK-14</t>
  </si>
  <si>
    <t xml:space="preserve">dukan ka stock dekha, das darwaze faltu mile</t>
  </si>
  <si>
    <t xml:space="preserve">adjustment(location=shop, item_name=darwaza, quantity_change=10, date=T)</t>
  </si>
  <si>
    <t xml:space="preserve">record_adjustment: no entry, no question (route=accounting)</t>
  </si>
  <si>
    <t xml:space="preserve">F2-STK-15</t>
  </si>
  <si>
    <t xml:space="preserve">Site se balli aa gayi gudam</t>
  </si>
  <si>
    <t xml:space="preserve">asked/stopped: missing_argument: record_material_movement ['quantity']</t>
  </si>
  <si>
    <t xml:space="preserve">F2-PUR-01</t>
  </si>
  <si>
    <t xml:space="preserve">Om Prakash ji se purani haveli 5 lakh mein khareedi</t>
  </si>
  <si>
    <t xml:space="preserve">purchase(seller_name=Om Prakash ji, total_amount=500000, date=T)</t>
  </si>
  <si>
    <t xml:space="preserve">purchase(description=purani haveli khareedi, seller_name=Om Prakash ji, total_amount=500000.0, purchase_date=2026-10-08)</t>
  </si>
  <si>
    <t xml:space="preserve">F2-PUR-02</t>
  </si>
  <si>
    <t xml:space="preserve">Om Prakash ji ko 1 lakh bayana de diya</t>
  </si>
  <si>
    <t xml:space="preserve">purchase_payment(seller_name=Om Prakash ji, amount=100000, date=T)</t>
  </si>
  <si>
    <t xml:space="preserve">purchase_payment(note=bayana de diya, amount=100000.0, seller_name=Om Prakash ji, payment_date=2026-10-08)</t>
  </si>
  <si>
    <t xml:space="preserve">F2-PUR-03</t>
  </si>
  <si>
    <t xml:space="preserve">Nayi welding machine 22000 ki li</t>
  </si>
  <si>
    <t xml:space="preserve">purchase(seller_name=None, total_amount=22000, date=T)</t>
  </si>
  <si>
    <t xml:space="preserve">record_purchase: asked missing_argument:record_purchase ['seller_name']</t>
  </si>
  <si>
    <t xml:space="preserve">F2-PUR-04</t>
  </si>
  <si>
    <t xml:space="preserve">Billu se purana dumper 3 lakh mein liya</t>
  </si>
  <si>
    <t xml:space="preserve">purchase(seller_name=Billu, total_amount=300000, date=T)</t>
  </si>
  <si>
    <t xml:space="preserve">purchase(description=purana dumper, seller_name=Billu, total_amount=300000.0, purchase_date=2026-10-08)</t>
  </si>
  <si>
    <t xml:space="preserve">F2-PUR-05</t>
  </si>
  <si>
    <t xml:space="preserve">Om Prakash ji ko haveli ke 2 lakh aur diye</t>
  </si>
  <si>
    <t xml:space="preserve">purchase_payment(seller_name=Om Prakash ji, amount=200000, date=T)</t>
  </si>
  <si>
    <t xml:space="preserve">purchase_payment(note=haveli ke 200000 aur diye, amount=200000.0, seller_name=Om Prakash ji, payment_date=2026-10-08)</t>
  </si>
  <si>
    <t xml:space="preserve">F2-PUR-06</t>
  </si>
  <si>
    <t xml:space="preserve">billu ko dumper ke dedh lakh pakda diye</t>
  </si>
  <si>
    <t xml:space="preserve">purchase_payment(seller_name=Billu, amount=150000, date=T)</t>
  </si>
  <si>
    <t xml:space="preserve">purchase_payment(note=dumper ke, amount=150000.0, seller_name=billu, payment_date=2026-10-08)</t>
  </si>
  <si>
    <t xml:space="preserve">F2-PUR-07</t>
  </si>
  <si>
    <t xml:space="preserve">Ek kothi ka sauda pakka ho gaya</t>
  </si>
  <si>
    <t xml:space="preserve">asked/stopped: missing_argument: record_purchase ['seller_name', 'total_amount']</t>
  </si>
  <si>
    <t xml:space="preserve">F2-PUR-08</t>
  </si>
  <si>
    <t xml:space="preserve">Om Prakash ji wali haveli ke baare mein soch rahe hain</t>
  </si>
  <si>
    <t xml:space="preserve">F2-PUR-09</t>
  </si>
  <si>
    <t xml:space="preserve">Om Prakash ji ka bacha hua 2 lakh de ke haveli ka hisab khatam</t>
  </si>
  <si>
    <t xml:space="preserve">purchase_payment(note=haveli ka hisab khatam, amount=200000.0, seller_name=Om Prakash ji, payment_date=2026-10-08)</t>
  </si>
  <si>
    <t xml:space="preserve">F2-PUR-10</t>
  </si>
  <si>
    <t xml:space="preserve">Mange Ram se Dhani wala makaan todne ko dhai lakh mein le liya</t>
  </si>
  <si>
    <t xml:space="preserve">purchase(seller_name=Mange Ram, total_amount=250000, date=T)</t>
  </si>
  <si>
    <t xml:space="preserve">purchase(description=Dhani wala makaan todne ki deal, seller_name=Mange Ram, total_amount=250000.0, purchase_date=2026-10-08)</t>
  </si>
  <si>
    <t xml:space="preserve">F2-PUR-11</t>
  </si>
  <si>
    <t xml:space="preserve">Mange Ram ko makaan ke 50000 diye</t>
  </si>
  <si>
    <t xml:space="preserve">purchase_payment(seller_name=Mange Ram, amount=50000, date=T)</t>
  </si>
  <si>
    <t xml:space="preserve">employee_transaction(note=makaan ke, amount=50000.0, employee_name=Ram, transaction_date=2026-10-08, transaction_type=payment)</t>
  </si>
  <si>
    <t xml:space="preserve">record_purchase_payment: no entry, no question (route=accounting) · EXTRA entry: record_employee_transaction Ram 50000.0</t>
  </si>
  <si>
    <t xml:space="preserve">F2-PUR-12</t>
  </si>
  <si>
    <t xml:space="preserve">Naya tractor 6 lakh ka liya</t>
  </si>
  <si>
    <t xml:space="preserve">purchase(seller_name=None, total_amount=600000, date=T)</t>
  </si>
  <si>
    <t xml:space="preserve">F2-PUR-13</t>
  </si>
  <si>
    <t xml:space="preserve">Mange Ram ji ko makaan ke 20000 aur bheje</t>
  </si>
  <si>
    <t xml:space="preserve">purchase_payment(seller_name=Mange Ram, amount=20000, date=T)</t>
  </si>
  <si>
    <t xml:space="preserve">employee_transaction(note=makaan ke, amount=20000.0, employee_name=Ram ji, transaction_date=2026-10-08, transaction_type=payment)</t>
  </si>
  <si>
    <t xml:space="preserve">record_purchase_payment: no entry, no question (route=accounting) · EXTRA entry: record_employee_transaction Ram ji 20000.0</t>
  </si>
  <si>
    <t xml:space="preserve">F2-PUR-14</t>
  </si>
  <si>
    <t xml:space="preserve">mange ram ji wale makaan ke dhai lakh mein se aadhe de diye</t>
  </si>
  <si>
    <t xml:space="preserve">purchase_payment(seller_name=Mange Ram, amount=125000, date=T)</t>
  </si>
  <si>
    <t xml:space="preserve">employee_transaction(note=aadhe de diye, amount=125000.0, employee_name=Ram, transaction_date=2026-10-08, transaction_type=payment)</t>
  </si>
  <si>
    <t xml:space="preserve">record_purchase_payment: no entry, no question (route=accounting) · EXTRA entry: record_employee_transaction Ram 125000.0</t>
  </si>
  <si>
    <t xml:space="preserve">F2-PUR-15</t>
  </si>
  <si>
    <t xml:space="preserve">Om Prakash ji ko 1 lakh diye aur Billu ko 50000</t>
  </si>
  <si>
    <t xml:space="preserve">purchase_payment(amount=100000.0, seller_name=Om Prakash ji, payment_date=2026-10-08); purchase_payment(amount=50000.0, seller_name=Billu, payment_date=2026-10-08)</t>
  </si>
  <si>
    <t xml:space="preserve">purchase_payment(seller_name=Billu, amount=50000, date=T)</t>
  </si>
  <si>
    <t xml:space="preserve">F2-RPT-01</t>
  </si>
  <si>
    <t xml:space="preserve">—</t>
  </si>
  <si>
    <t xml:space="preserve">Sohan ki is mahine ki dihadi aur payment ki report bhejo</t>
  </si>
  <si>
    <t xml:space="preserve">REPORT</t>
  </si>
  <si>
    <t xml:space="preserve">report: route=report, kind=person, person=Sohan, start=M0, end=T</t>
  </si>
  <si>
    <t xml:space="preserve">report: kind=work_log, start=2026-10-01, end=2026-10-08, stop=Is duration (01-Oct-2026 se 08-Oct-2026) mein koi hisab nahi hai.</t>
  </si>
  <si>
    <t xml:space="preserve">kind work_log≠person · naam None≠Sohan</t>
  </si>
  <si>
    <t xml:space="preserve">F2-RPT-02</t>
  </si>
  <si>
    <t xml:space="preserve">Sharma ji ke khate mein abhi kitna udhaar bacha hai</t>
  </si>
  <si>
    <t xml:space="preserve">report: route=report, kind=person, person=Sharma ji</t>
  </si>
  <si>
    <t xml:space="preserve">report: kind=person, person_name=Sharma ji</t>
  </si>
  <si>
    <t xml:space="preserve">F2-RPT-03</t>
  </si>
  <si>
    <t xml:space="preserve">Pichle paanch dino mein kharche kahan kahan hue, report do</t>
  </si>
  <si>
    <t xml:space="preserve">report: route=report, kind=expense, start=T-4, end=T</t>
  </si>
  <si>
    <t xml:space="preserve">report: kind=expense, start=2026-10-03, end=2026-10-08, stop=Is duration (03-Oct-2026 se 08-Oct-2026) mein koi hisab nahi hai.</t>
  </si>
  <si>
    <t xml:space="preserve">start 2026-10-03≠['2026-10-04']</t>
  </si>
  <si>
    <t xml:space="preserve">F2-RPT-04</t>
  </si>
  <si>
    <t xml:space="preserve">Papa ne aaj galle se kitne nikale, dikhao</t>
  </si>
  <si>
    <t xml:space="preserve">report: route=report, kind=person, person=Papa, start=T, end=T</t>
  </si>
  <si>
    <t xml:space="preserve">report: kind=person, person_name=Papa, start=2026-10-08, end=2026-10-08</t>
  </si>
  <si>
    <t xml:space="preserve">F2-RPT-05</t>
  </si>
  <si>
    <t xml:space="preserve">SBI wala hisab poora kar diya, 8000 bhej ke</t>
  </si>
  <si>
    <t xml:space="preserve">report: route=accounting</t>
  </si>
  <si>
    <t xml:space="preserve">route=accounting</t>
  </si>
  <si>
    <t xml:space="preserve">F2-RPT-06</t>
  </si>
  <si>
    <t xml:space="preserve">Parso gudam se kya kya gaya, dikhao</t>
  </si>
  <si>
    <t xml:space="preserve">report: route=report, kind=material_movement, start=T-2, end=T-2</t>
  </si>
  <si>
    <t xml:space="preserve">report: kind=material_movement, start=2026-10-06, end=2026-10-06, stop=Is duration (06-Oct-2026 se 06-Oct-2026) mein koi hisab nahi hai.</t>
  </si>
  <si>
    <t xml:space="preserve">F2-RPT-07</t>
  </si>
  <si>
    <t xml:space="preserve">Kitanu ka 1 tareekh se aaj tak ka hisab</t>
  </si>
  <si>
    <t xml:space="preserve">report: route=report, kind=person, person=Kitanu, start=10-01, end=T</t>
  </si>
  <si>
    <t xml:space="preserve">report: kind=overall, start=2026-10-01, end=2026-10-08, stop=Is duration (01-Oct-2026 se 08-Oct-2026) mein koi hisab nahi hai.</t>
  </si>
  <si>
    <t xml:space="preserve">kind overall≠person · naam None≠Kitanu</t>
  </si>
  <si>
    <t xml:space="preserve">F2-RPT-08</t>
  </si>
  <si>
    <t xml:space="preserve">Suresh Traders ki saari entry nikal do</t>
  </si>
  <si>
    <t xml:space="preserve">report: route=report, kind=person, person=Suresh Traders</t>
  </si>
  <si>
    <t xml:space="preserve">report: kind=person, person_name=Suresh Traders</t>
  </si>
  <si>
    <t xml:space="preserve">F2-RPT-09</t>
  </si>
  <si>
    <t xml:space="preserve">Is mahine poore dhande ka hisab kitab batao</t>
  </si>
  <si>
    <t xml:space="preserve">report: route=report, kind=overall, start=M0, end=T</t>
  </si>
  <si>
    <t xml:space="preserve">F2-RPT-10</t>
  </si>
  <si>
    <t xml:space="preserve">Kitanu ka aaj tak ka len-den barabar kar diya, 500 de ke</t>
  </si>
  <si>
    <t xml:space="preserve">F2-COR-01</t>
  </si>
  <si>
    <t xml:space="preserve">Kal Sohan ki mazdoori do baar chadh gayi</t>
  </si>
  <si>
    <t xml:space="preserve">CORRECTION</t>
  </si>
  <si>
    <t xml:space="preserve">correction: route=correction, name=Sohan, date=T-1</t>
  </si>
  <si>
    <t xml:space="preserve">no correction</t>
  </si>
  <si>
    <t xml:space="preserve">correction nahi pehchana · naam None≠Sohan · date None≠2026-10-07</t>
  </si>
  <si>
    <t xml:space="preserve">F2-COR-02</t>
  </si>
  <si>
    <t xml:space="preserve">Suresh Traders ki 4 tareekh wali bikri galat likhi</t>
  </si>
  <si>
    <t xml:space="preserve">correction: route=correction, name=Suresh Traders, date=10-04</t>
  </si>
  <si>
    <t xml:space="preserve">correction: name=Suresh Traders, date=2026-10-04</t>
  </si>
  <si>
    <t xml:space="preserve">F2-COR-03</t>
  </si>
  <si>
    <t xml:space="preserve">Koi kharche ki entry do baar ho gayi hai</t>
  </si>
  <si>
    <t xml:space="preserve">correction: route=correction</t>
  </si>
  <si>
    <t xml:space="preserve">correction: </t>
  </si>
  <si>
    <t xml:space="preserve">F2-COR-04</t>
  </si>
  <si>
    <t xml:space="preserve">Kitanu ko aaj 300 pakdaye, aur kal ki uski absent wali entry hata do</t>
  </si>
  <si>
    <t xml:space="preserve">correction: route=correction, name=Kitanu, date=T-1; new entry: {'tool': 'record_employee_transaction', 'name': 'Kitanu', 'amount': 300}</t>
  </si>
  <si>
    <t xml:space="preserve">correction: name=Kitanu, date=2026-10-07</t>
  </si>
  <si>
    <t xml:space="preserve">F2-COR-05</t>
  </si>
  <si>
    <t xml:space="preserve">Satbir ne atke hue 2000 bhi aaj chuka diye</t>
  </si>
  <si>
    <t xml:space="preserve">correction: route=accounting; new entry: {'tool': 'record_sale_payment', 'name': 'Satbir', 'amount': 2000}</t>
  </si>
  <si>
    <t xml:space="preserve">no correction | entries: sale_payment(note=atke hue, amount=2000.0, payment_date=2026-10-08, customer_name=Satbir)</t>
  </si>
  <si>
    <t xml:space="preserve">F2-COR-06</t>
  </si>
  <si>
    <t xml:space="preserve">Kitanu ka purana 1200 udhaar aaj utaar diya</t>
  </si>
  <si>
    <t xml:space="preserve">correction: route=accounting; new entry: {'tool': 'record_employee_transaction', 'name': 'Kitanu', 'amount': 1200}</t>
  </si>
  <si>
    <t xml:space="preserve">no correction | entries: opening_balance(note=purana udhaar utaar diya, amount=1200.0, direction=dena, as_of_date=2026-10-08, party_name=Kitanu, party_type=employee)</t>
  </si>
  <si>
    <t xml:space="preserve">entry nahi bani: {'tool': 'record_employee_transaction', 'name': 'Kitanu', 'amount': 1200}</t>
  </si>
  <si>
    <t xml:space="preserve">F2-COR-07</t>
  </si>
  <si>
    <t xml:space="preserve">Parso ka diesel wala kharcha galat chadh gaya</t>
  </si>
  <si>
    <t xml:space="preserve">correction: route=correction, date=T-2</t>
  </si>
  <si>
    <t xml:space="preserve">correction: date=2026-10-06</t>
  </si>
  <si>
    <t xml:space="preserve">F2-COR-08</t>
  </si>
  <si>
    <t xml:space="preserve">Sharma ji ki kal wali payment galti se chadh gayi</t>
  </si>
  <si>
    <t xml:space="preserve">correction: route=correction, name=Sharma ji, date=T-1</t>
  </si>
  <si>
    <t xml:space="preserve">correction: name=Sharma ji, date=2026-10-07</t>
  </si>
  <si>
    <t xml:space="preserve">F2-COR-09</t>
  </si>
  <si>
    <t xml:space="preserve">Sohan ko aaj 500 diye, 3 tareekh wala uska kaam galat hai</t>
  </si>
  <si>
    <t xml:space="preserve">correction: route=correction, name=Sohan, date=10-03; new entry: {'tool': 'record_employee_transaction', 'name': 'Sohan', 'amount': 500}</t>
  </si>
  <si>
    <t xml:space="preserve">correction: name=Sohan, date=2026-10-03</t>
  </si>
  <si>
    <t xml:space="preserve">F2-COR-10</t>
  </si>
  <si>
    <t xml:space="preserve">Ram ne aaj gudam mein 600 ki dihadi lagayi</t>
  </si>
  <si>
    <t xml:space="preserve">correction: route=accounting; new entry: {'tool': 'record_employee_transaction', 'name': 'Ram', 'amount': 600}</t>
  </si>
  <si>
    <t xml:space="preserve">no correction | entries: employee_transaction(note=gudam mein dihadi lagayi, amount=600.0, employee_name=Ram, transaction_date=2026-10-08, transaction_type=work)</t>
  </si>
  <si>
    <t xml:space="preserve">F2-RTR-01</t>
  </si>
  <si>
    <t xml:space="preserve">Aaj bahut thand hai yaar</t>
  </si>
  <si>
    <t xml:space="preserve">general_chat</t>
  </si>
  <si>
    <t xml:space="preserve">route=general_chat</t>
  </si>
  <si>
    <t xml:space="preserve">F2-RTR-02</t>
  </si>
  <si>
    <t xml:space="preserve">Tum mera hisab kitab rakhoge na?</t>
  </si>
  <si>
    <t xml:space="preserve">route accounting≠general_chat</t>
  </si>
  <si>
    <t xml:space="preserve">F2-RTR-03</t>
  </si>
  <si>
    <t xml:space="preserve">Sohan ki maa ab theek hain kya?</t>
  </si>
  <si>
    <t xml:space="preserve">F2-RTR-04</t>
  </si>
  <si>
    <t xml:space="preserve">Kitanu aaj der se aaya, 10 baje</t>
  </si>
  <si>
    <t xml:space="preserve">accounting</t>
  </si>
  <si>
    <t xml:space="preserve">F2-RTR-05</t>
  </si>
  <si>
    <t xml:space="preserve">SBI waalon ka kitna lena-dena baaki chal raha hai, batao</t>
  </si>
  <si>
    <t xml:space="preserve">report</t>
  </si>
  <si>
    <t xml:space="preserve">route=report</t>
  </si>
  <si>
    <t xml:space="preserve">F2-RTR-06</t>
  </si>
  <si>
    <t xml:space="preserve">Sharma ji ka beta 1500 de kar gaya abhi</t>
  </si>
  <si>
    <t xml:space="preserve">F2-RTR-07</t>
  </si>
  <si>
    <t xml:space="preserve">Bhiwani se Rohtak kitni door hai?</t>
  </si>
  <si>
    <t xml:space="preserve">F2-RTR-08</t>
  </si>
  <si>
    <t xml:space="preserve">Sharma ji ke ghar shaadi hai agle hafte</t>
  </si>
  <si>
    <t xml:space="preserve">F2-RTR-09</t>
  </si>
  <si>
    <t xml:space="preserve">Naresh aaj time se pahle aa gaya</t>
  </si>
  <si>
    <t xml:space="preserve">F2-RTR-10</t>
  </si>
  <si>
    <t xml:space="preserve">Garg timber ka hisab dikhao</t>
  </si>
  <si>
    <t xml:space="preserve">Holdout round 1 — 135 unseen statements (run 2026-10-08 14:40, Hinglish)</t>
  </si>
  <si>
    <t xml:space="preserve">Written by the assistant in the owner's business style, locked by the user before the run, never seen by the prompts or the dev test sets (difflib similarity ≤ 0.69). 7 entry bundles × 15 (8 papa-style + 7 mixed) + Report / Correction / Router × 10.</t>
  </si>
  <si>
    <t xml:space="preserve">This round was USED for fixing afterwards (7 fix groups, see Changelog), so after the fixes it is no longer unseen. Scorer fix after the run: STK-02 / STK-12 driver_name removed (the movement tool has no driver field).</t>
  </si>
  <si>
    <t xml:space="preserve">FIN-EMP-01</t>
  </si>
  <si>
    <t xml:space="preserve">Bhupender ko aaj ki dihadi 600 de di</t>
  </si>
  <si>
    <t xml:space="preserve">employee_transaction(employee_name=Bhupender, transaction_type=payment, amount=600, date=T)</t>
  </si>
  <si>
    <t xml:space="preserve">employee_transaction(note=aaj ki dihadi, amount=600.0, employee_name=Bhupender, transaction_date=2026-10-08, transaction_type=payment)</t>
  </si>
  <si>
    <t xml:space="preserve">FIN-EMP-02</t>
  </si>
  <si>
    <t xml:space="preserve">Kitanu aaj trolley lekar do chakkar Kalanaur gaya</t>
  </si>
  <si>
    <t xml:space="preserve">record_attendance: no entry, no question (route=accounting)</t>
  </si>
  <si>
    <t xml:space="preserve">FIN-EMP-03</t>
  </si>
  <si>
    <t xml:space="preserve">Sohan ne Dhani wali site pe chaukhat nikalne ka 800 ka kaam kiya</t>
  </si>
  <si>
    <t xml:space="preserve">employee_transaction(employee_name=Sohan, transaction_type=work, amount=800, date=T)</t>
  </si>
  <si>
    <t xml:space="preserve">employee_transaction(note=Dhani wali site pe chaukhat nikalne ka, amount=800.0, employee_name=Sohan, transaction_date=2026-10-08, transaction_type=work)</t>
  </si>
  <si>
    <t xml:space="preserve">FIN-EMP-04</t>
  </si>
  <si>
    <t xml:space="preserve">Ram aaj dopahar baad aaya, aadha din</t>
  </si>
  <si>
    <t xml:space="preserve">record_attendance: asked missing_argument:record_employee_transaction ['amount']</t>
  </si>
  <si>
    <t xml:space="preserve">FIN-EMP-05</t>
  </si>
  <si>
    <t xml:space="preserve">Mahavir mistri ko 2000 advance diye, agle hafte se kaam pe aayega</t>
  </si>
  <si>
    <t xml:space="preserve">employee_transaction(employee_name=Mahavir, transaction_type=payment, amount=2000, date=T)</t>
  </si>
  <si>
    <t xml:space="preserve">employee_transaction(note=advance, amount=2000.0, employee_name=Mahavir mistri, transaction_date=2026-10-08, transaction_type=payment)</t>
  </si>
  <si>
    <t xml:space="preserve">FIN-EMP-06</t>
  </si>
  <si>
    <t xml:space="preserve">Sohan aur Ram dono ne aaj girder katai ki, 500-500 banta hai</t>
  </si>
  <si>
    <t xml:space="preserve">employee_transaction(employee_name=Sohan, transaction_type=work, amount=500, date=T)</t>
  </si>
  <si>
    <t xml:space="preserve">employee_transaction(amount=500.0, employee_name=Sohan, transaction_date=2026-10-08, transaction_type=payment); employee_transaction(amount=500.0, employee_name=Ram, transaction_date=2026-10-08, transaction_type=payment)</t>
  </si>
  <si>
    <t xml:space="preserve">record_employee_transaction: transaction_type payment≠work · record_employee_transaction: transaction_type payment≠work</t>
  </si>
  <si>
    <t xml:space="preserve">employee_transaction(employee_name=Ram, transaction_type=work, amount=500, date=T)</t>
  </si>
  <si>
    <t xml:space="preserve">FIN-EMP-07</t>
  </si>
  <si>
    <t xml:space="preserve">Kitanu kal chutti pe tha</t>
  </si>
  <si>
    <t xml:space="preserve">attendance(employee_name=Kitanu, attendance=absent, date=T-1)</t>
  </si>
  <si>
    <t xml:space="preserve">attendance(note=chutti pe tha, driving=absent, attendance=absent, employee_name=Kitanu, attendance_date=2026-10-07)</t>
  </si>
  <si>
    <t xml:space="preserve">FIN-EMP-08</t>
  </si>
  <si>
    <t xml:space="preserve">Bhupender ke purane hisab ke 1500 dene baaki hain</t>
  </si>
  <si>
    <t xml:space="preserve">opening_balance(party_name=Bhupender, amount=1500, direction=dena)</t>
  </si>
  <si>
    <t xml:space="preserve">opening_balance(note=purane hisab ke dene baaki hain, amount=1500.0, direction=dena, as_of_date=2026-10-08, party_name=Bhupender, party_type=employee)</t>
  </si>
  <si>
    <t xml:space="preserve">FIN-EMP-09</t>
  </si>
  <si>
    <t xml:space="preserve">Sohan ko 300 kharchi di</t>
  </si>
  <si>
    <t xml:space="preserve">employee_transaction(employee_name=Sohan, transaction_type=payment, amount=300, date=T)</t>
  </si>
  <si>
    <t xml:space="preserve">employee_transaction(note=kharchi di, amount=300.0, employee_name=Sohan, transaction_date=2026-10-08, transaction_type=payment)</t>
  </si>
  <si>
    <t xml:space="preserve">FIN-EMP-10</t>
  </si>
  <si>
    <t xml:space="preserve">Ram subah saat baje hi pahunch gaya tha aaj</t>
  </si>
  <si>
    <t xml:space="preserve">attendance(employee_name=Ram, attendance=P, date=T)</t>
  </si>
  <si>
    <t xml:space="preserve">attendance(note=subah saat baje hi pahunch gaya tha, driving=absent, attendance=P, employee_name=Ram, attendance_date=2026-10-08)</t>
  </si>
  <si>
    <t xml:space="preserve">FIN-EMP-11</t>
  </si>
  <si>
    <t xml:space="preserve">ram ko kal 5 sau diye the uske baad aaj 2 sau aur</t>
  </si>
  <si>
    <t xml:space="preserve">employee_transaction(employee_name=Ram, transaction_type=payment, amount=500, date=T-1)</t>
  </si>
  <si>
    <t xml:space="preserve">employee_transaction(amount=500.0, employee_name=Ram, transaction_date=2026-10-07, transaction_type=payment); employee_transaction(amount=200.0, employee_name=Ram, transaction_date=2026-10-08, transaction_type=payment)</t>
  </si>
  <si>
    <t xml:space="preserve">employee_transaction(employee_name=Ram, transaction_type=payment, amount=200, date=T)</t>
  </si>
  <si>
    <t xml:space="preserve">FIN-EMP-12</t>
  </si>
  <si>
    <t xml:space="preserve">Mahavir ka number 9812233445 hai, mistri hai wo</t>
  </si>
  <si>
    <t xml:space="preserve">manage_employee(employee_name=Mahavir)</t>
  </si>
  <si>
    <t xml:space="preserve">manage_employee(role=mistri, phone=9812233445, employee_name=Mahavir)</t>
  </si>
  <si>
    <t xml:space="preserve">FIN-EMP-13</t>
  </si>
  <si>
    <t xml:space="preserve">Mahavir ka hisab chuka diya</t>
  </si>
  <si>
    <t xml:space="preserve">employee_transaction(employee_name=Mahavir, transaction_type=payment, date=T)</t>
  </si>
  <si>
    <t xml:space="preserve">FIN-EMP-14</t>
  </si>
  <si>
    <t xml:space="preserve">Ram aaj aaya, 650 ka kaam kiya aur 400 le gaya</t>
  </si>
  <si>
    <t xml:space="preserve">attendance(driving=absent, attendance=P, employee_name=Ram, attendance_date=2026-10-08); employee_transaction(amount=650.0, employee_name=Ram, transaction_date=2026-10-08, transaction_type=work); employee_transaction(amount=400.0, employee_name=Ram, transaction_date=2026-10-08, transaction_type=payment)</t>
  </si>
  <si>
    <t xml:space="preserve">employee_transaction(employee_name=Ram, transaction_type=work, amount=650, date=T)</t>
  </si>
  <si>
    <t xml:space="preserve">employee_transaction(employee_name=Ram, transaction_type=payment, amount=400, date=T)</t>
  </si>
  <si>
    <t xml:space="preserve">FIN-EMP-15</t>
  </si>
  <si>
    <t xml:space="preserve">Agle somvar Bhupender ka 700 ka hisab karna hai</t>
  </si>
  <si>
    <t xml:space="preserve">FIN-CUS-01</t>
  </si>
  <si>
    <t xml:space="preserve">Rajbir ko 1500 purani eent di, 4 rupaye wali, Gudam se</t>
  </si>
  <si>
    <t xml:space="preserve">sale_transaction(customer_name=Rajbir, item_name=eent, quantity=1500, rate=4, amount=6000, source=gudam, date=T)</t>
  </si>
  <si>
    <t xml:space="preserve">sale_transaction(rate=4.0, amount=6000.0, quantity=1500.0, item_name=purani eent, sale_date=2026-10-08, customer_name=Rajbir, update_inventory=True) | asked: material_movement, material_movement</t>
  </si>
  <si>
    <t xml:space="preserve">record_sale_transaction: source ≠gudam</t>
  </si>
  <si>
    <t xml:space="preserve">FIN-CUS-02</t>
  </si>
  <si>
    <t xml:space="preserve">Sharma ji 3 purane darwaze le gaye 4500 ke</t>
  </si>
  <si>
    <t xml:space="preserve">sale_transaction(customer_name=Sharma ji, item_name=darwaza, quantity=3, amount=4500, date=T)</t>
  </si>
  <si>
    <t xml:space="preserve">sale_transaction(note=purane, unit=piece, amount=4500.0, quantity=3.0, item_name=darwaze, sale_date=2026-10-08, customer_name=Sharma ji, update_inventory=True) | asked: material_movement</t>
  </si>
  <si>
    <t xml:space="preserve">FIN-CUS-03</t>
  </si>
  <si>
    <t xml:space="preserve">Rajbir ne 3000 de diye baaki baad mein dega</t>
  </si>
  <si>
    <t xml:space="preserve">sale_payment(customer_name=Rajbir, amount=3000, date=T)</t>
  </si>
  <si>
    <t xml:space="preserve">sale_payment(amount=3000.0, payment_date=2026-10-08, customer_name=Rajbir)</t>
  </si>
  <si>
    <t xml:space="preserve">FIN-CUS-04</t>
  </si>
  <si>
    <t xml:space="preserve">Dukaan se 2 chaukhat Satbir ko becha 1800 mein, cash mil gaya</t>
  </si>
  <si>
    <t xml:space="preserve">sale_transaction(customer_name=Satbir, item_name=chaukhat, quantity=2, amount=1800, source=shop, date=T)</t>
  </si>
  <si>
    <t xml:space="preserve">sale_transaction(unit=piece, amount=1800.0, source=Dukaan, quantity=2.0, item_name=chaukhat, sale_date=2026-10-08, customer_name=Satbir, update_inventory=True); sale_payment(note=cash mil gaya, amount=1800.0, payment_date=2026-10-08, customer_name=Satbir) | asked: material_movement</t>
  </si>
  <si>
    <t xml:space="preserve">sale_payment(customer_name=Satbir, amount=1800, date=T)</t>
  </si>
  <si>
    <t xml:space="preserve">FIN-CUS-05</t>
  </si>
  <si>
    <t xml:space="preserve">Suresh Traders ko 2 quintal sariya 9000 ka, udhaar</t>
  </si>
  <si>
    <t xml:space="preserve">sale_transaction(customer_name=Suresh Traders, item_name=sariya, quantity=2, unit=quintal, amount=9000, date=T)</t>
  </si>
  <si>
    <t xml:space="preserve">sale_transaction(note=udhaar, rate=45.0, unit=kg, amount=9000.0, quantity=200.0, item_name=sariya, sale_date=2026-10-08, customer_name=Suresh Traders, supplier_name=Suresh Traders, update_inventory=True)</t>
  </si>
  <si>
    <t xml:space="preserve">FIN-CUS-06</t>
  </si>
  <si>
    <t xml:space="preserve">Kitanu trolley mein 800 eent Satbir ke yahan chhod aaya, 5 ka rate</t>
  </si>
  <si>
    <t xml:space="preserve">sale_transaction(customer_name=Satbir, item_name=eent, quantity=800, rate=5, amount=4000, driver_name=Kitanu, date=T)</t>
  </si>
  <si>
    <t xml:space="preserve">sale_transaction(note=chhod aaya, rate=5.0, unit=trolley, amount=4000.0, quantity=800.0, item_name=eent, sale_date=2026-10-08, customer_name=Satbir, update_inventory=True) | asked: material_movement, material_movement</t>
  </si>
  <si>
    <t xml:space="preserve">record_sale_transaction: driver_name ≠Kitanu</t>
  </si>
  <si>
    <t xml:space="preserve">FIN-CUS-07</t>
  </si>
  <si>
    <t xml:space="preserve">Rajbir pe pichle saal ke 7000 baaki hain</t>
  </si>
  <si>
    <t xml:space="preserve">opening_balance(party_name=Rajbir, amount=7000, direction=lena)</t>
  </si>
  <si>
    <t xml:space="preserve">opening_balance(note=pichle saal ke, amount=7000.0, direction=lena, as_of_date=2026-10-08, party_name=Rajbir, party_type=customer)</t>
  </si>
  <si>
    <t xml:space="preserve">FIN-CUS-08</t>
  </si>
  <si>
    <t xml:space="preserve">Gudam se ek purani lakdi ki almari Mohan ji ko 3500 ki di, 2000 abhi diye</t>
  </si>
  <si>
    <t xml:space="preserve">sale_transaction(customer_name=Mohan ji, item_name=almari, quantity=1, amount=3500, source=gudam, date=T)</t>
  </si>
  <si>
    <t xml:space="preserve">sale_transaction(note=2000 abhi diye, amount=3500.0, source=Gudam, item_name=lakdi ki almari, sale_date=2026-10-08, customer_name=Mohan ji, update_inventory=True); sale_payment(note=abhi diye, amount=2000.0, payment_date=2026-10-08, customer_name=Mohan ji) | asked: material_movement</t>
  </si>
  <si>
    <t xml:space="preserve">sale_payment(customer_name=Mohan ji, amount=2000, date=T)</t>
  </si>
  <si>
    <t xml:space="preserve">FIN-CUS-09</t>
  </si>
  <si>
    <t xml:space="preserve">Satbir se aaj 2500 aa gaye</t>
  </si>
  <si>
    <t xml:space="preserve">sale_payment(customer_name=Satbir, amount=2500, date=T)</t>
  </si>
  <si>
    <t xml:space="preserve">sale_payment(amount=2500.0, payment_date=2026-10-08, customer_name=Satbir)</t>
  </si>
  <si>
    <t xml:space="preserve">FIN-CUS-10</t>
  </si>
  <si>
    <t xml:space="preserve">Suresh Traders ne 2000 online bheje</t>
  </si>
  <si>
    <t xml:space="preserve">sale_payment(customer_name=Suresh Traders, amount=2000, date=T)</t>
  </si>
  <si>
    <t xml:space="preserve">sale_payment(amount=2000.0, payment_date=2026-10-08, customer_name=Suresh Traders)</t>
  </si>
  <si>
    <t xml:space="preserve">FIN-CUS-11</t>
  </si>
  <si>
    <t xml:space="preserve">satbir ko dedh sau eent saade chaar ke bhaav</t>
  </si>
  <si>
    <t xml:space="preserve">sale_transaction(customer_name=Satbir, item_name=eent, quantity=150, rate=4.5, amount=675, date=T)</t>
  </si>
  <si>
    <t xml:space="preserve">sale_transaction(rate=4.0, unit=piece, amount=600.0, quantity=150.0, item_name=eent, sale_date=2026-10-08, customer_name=satbir, update_inventory=True) | asked: material_movement, material_movement</t>
  </si>
  <si>
    <t xml:space="preserve">record_sale_transaction: amount 600.0≠675; rate 4.0≠4.5</t>
  </si>
  <si>
    <t xml:space="preserve">FIN-CUS-12</t>
  </si>
  <si>
    <t xml:space="preserve">Rajbir ka mobile 9416012345, Bhiwani bus adde ke paas dukaan hai</t>
  </si>
  <si>
    <t xml:space="preserve">manage_customer(customer_name=Rajbir)</t>
  </si>
  <si>
    <t xml:space="preserve">manage_customer: no entry, no question (route=accounting)</t>
  </si>
  <si>
    <t xml:space="preserve">FIN-CUS-13</t>
  </si>
  <si>
    <t xml:space="preserve">Mohan ji ko 4 khidki de di</t>
  </si>
  <si>
    <t xml:space="preserve">sale_transaction(customer_name=Mohan ji, item_name=khidki, quantity=4, date=T)</t>
  </si>
  <si>
    <t xml:space="preserve">FIN-CUS-14</t>
  </si>
  <si>
    <t xml:space="preserve">Sharma ji ko 1000 eent 5500 ki gayi, Kitanu chhod ke aaya, 3000 haath mein diye</t>
  </si>
  <si>
    <t xml:space="preserve">sale_transaction(customer_name=Sharma ji, item_name=eent, quantity=1000, amount=5500, driver_name=Kitanu, date=T)</t>
  </si>
  <si>
    <t xml:space="preserve">sale_transaction(amount=5500.0, quantity=1000.0, item_name=eent, sale_date=2026-10-08, customer_name=Sharma ji, update_inventory=True); employee_transaction(amount=3000.0, employee_name=Kitanu, payment_method=cash, transaction_date=2026-10-08, transaction_type=payment) | asked: material_movement</t>
  </si>
  <si>
    <t xml:space="preserve">record_sale_transaction: driver_name ≠Kitanu · record_sale_payment: no entry, no question (route=accounting) · EXTRA entry: record_employee_transaction Kitanu 3000.0</t>
  </si>
  <si>
    <t xml:space="preserve">sale_payment(customer_name=Sharma ji, amount=3000, date=T)</t>
  </si>
  <si>
    <t xml:space="preserve">FIN-CUS-15</t>
  </si>
  <si>
    <t xml:space="preserve">Rajbir agle hafte 3 girder lene aayega, 12000 bataye hain</t>
  </si>
  <si>
    <t xml:space="preserve">FIN-SUP-01</t>
  </si>
  <si>
    <t xml:space="preserve">SBI wala truck 3000 nayi eent Gudam utaar gaya, saat ka rate</t>
  </si>
  <si>
    <t xml:space="preserve">supplier_transaction(supplier_name=SBI Bhatta, item_name=eent, quantity=3000, rate=7, amount=21000, destination_location=gudam, date=T)</t>
  </si>
  <si>
    <t xml:space="preserve">supplier_transaction(rate=7.0, amount=21000.0, quantity=3000.0, item_name=nayi eent, supplier_name=SBI wala truck, transaction_date=2026-10-08, destination_location=Gudam) | asked: material_movement</t>
  </si>
  <si>
    <t xml:space="preserve">FIN-SUP-02</t>
  </si>
  <si>
    <t xml:space="preserve">Gill saw mill se 20 shahteer aaye 16000 ke, dukaan pe utre</t>
  </si>
  <si>
    <t xml:space="preserve">supplier_transaction(supplier_name=Gill saw mill, item_name=shahteer, quantity=20, amount=16000, destination_location=shop, date=T)</t>
  </si>
  <si>
    <t xml:space="preserve">supplier_transaction(amount=16000.0, quantity=20.0, item_name=shahteer, supplier_name=Gill saw mill, transaction_date=2026-10-08, destination_location=Dukaan) | asked: material_movement</t>
  </si>
  <si>
    <t xml:space="preserve">FIN-SUP-03</t>
  </si>
  <si>
    <t xml:space="preserve">SBI Bhatta ka 10 hazaar ka hisab chuka diya aaj</t>
  </si>
  <si>
    <t xml:space="preserve">supplier_payment(supplier_name=SBI Bhatta, amount=10000, date=T)</t>
  </si>
  <si>
    <t xml:space="preserve">supplier_payment(note=ka hisab chuka diya, amount=10000.0, payment_date=2026-10-08, supplier_name=SBI Bhatta)</t>
  </si>
  <si>
    <t xml:space="preserve">FIN-SUP-04</t>
  </si>
  <si>
    <t xml:space="preserve">Jindal steel wale se 5 quintal sariya liya 26000 ka, aadha diya</t>
  </si>
  <si>
    <t xml:space="preserve">supplier_transaction(supplier_name=Jindal steel, item_name=sariya, quantity=5, unit=quintal, amount=26000, date=T)</t>
  </si>
  <si>
    <t xml:space="preserve">supplier_transaction(note=aadha diya, unit=kg, amount=26000.0, quantity=500.0, item_name=sariya, supplier_name=Jindal, transaction_date=2026-10-08); supplier_payment(note=aadha diya, amount=13000.0, payment_date=2026-10-08, supplier_name=Jindal) | asked: material_movement, material_movement</t>
  </si>
  <si>
    <t xml:space="preserve">supplier_payment(supplier_name=Jindal steel, amount=13000, date=T)</t>
  </si>
  <si>
    <t xml:space="preserve">FIN-SUP-05</t>
  </si>
  <si>
    <t xml:space="preserve">Gill saw mill wale ko 8000 PhonePe kiye</t>
  </si>
  <si>
    <t xml:space="preserve">supplier_payment(supplier_name=Gill saw mill, amount=8000, date=T)</t>
  </si>
  <si>
    <t xml:space="preserve">supplier_payment(amount=8000.0, payment_date=2026-10-08, supplier_name=Gill saw)</t>
  </si>
  <si>
    <t xml:space="preserve">FIN-SUP-06</t>
  </si>
  <si>
    <t xml:space="preserve">Bhatte se 2 trolley rodi aayi, 4500 ki ek, site Haluwas pe</t>
  </si>
  <si>
    <t xml:space="preserve">supplier_transaction(supplier_name=SBI Bhatta, item_name=rodi, quantity=2, unit=trolley, rate=4500, amount=9000, destination_location=haluwas, date=T)</t>
  </si>
  <si>
    <t xml:space="preserve">record_supplier_transaction: asked material_movement:LOCATION_TYPE_CONFIRMATION </t>
  </si>
  <si>
    <t xml:space="preserve">FIN-SUP-07</t>
  </si>
  <si>
    <t xml:space="preserve">Jindal steel ke 12000 pehle ke dene baaki hain</t>
  </si>
  <si>
    <t xml:space="preserve">opening_balance(party_name=Jindal steel, amount=12000, direction=dena)</t>
  </si>
  <si>
    <t xml:space="preserve">opening_balance(note=pehle ke dene baaki hain, amount=12000.0, direction=dena, as_of_date=2026-10-08, party_name=Jindal steel, party_type=supplier)</t>
  </si>
  <si>
    <t xml:space="preserve">FIN-SUP-08</t>
  </si>
  <si>
    <t xml:space="preserve">300 eent tooti nikli thi, SBI Bhatte ko lauta di</t>
  </si>
  <si>
    <t xml:space="preserve">supplier_transaction(supplier_name=SBI Bhatta, item_name=eent, quantity=-300, date=T)</t>
  </si>
  <si>
    <t xml:space="preserve">record_supplier_transaction: asked missing_argument:record_supplier_payment ['amount']</t>
  </si>
  <si>
    <t xml:space="preserve">FIN-SUP-09</t>
  </si>
  <si>
    <t xml:space="preserve">Dukaan pe SBI ki 1500 eent utri, 10500 ka bill</t>
  </si>
  <si>
    <t xml:space="preserve">supplier_transaction(supplier_name=SBI Bhatta, item_name=eent, quantity=1500, amount=10500, destination_location=shop, date=T)</t>
  </si>
  <si>
    <t xml:space="preserve">expense(note=Dukaan pe, amount=10500.0, category=misc, description=bill, expense_date=2026-10-08); expense_payment(amount=10500.0, description=bill, payment_date=2026-10-08) | asked: material_movement</t>
  </si>
  <si>
    <t xml:space="preserve">record_supplier_transaction: no entry, no question (route=accounting) · EXTRA entry: record_expense  10500.0</t>
  </si>
  <si>
    <t xml:space="preserve">FIN-SUP-10</t>
  </si>
  <si>
    <t xml:space="preserve">Gill wale ko paanch hazaar nakad pakdaye</t>
  </si>
  <si>
    <t xml:space="preserve">supplier_payment(supplier_name=Gill saw mill, amount=5000, date=T)</t>
  </si>
  <si>
    <t xml:space="preserve">supplier_payment(note=nakad pakdaye, amount=5000.0, payment_date=2026-10-08, supplier_name=Gill)</t>
  </si>
  <si>
    <t xml:space="preserve">FIN-SUP-11</t>
  </si>
  <si>
    <t xml:space="preserve">jindal wale se dhai quintal sariya aaya, 52 rupaye kilo, gudam mein</t>
  </si>
  <si>
    <t xml:space="preserve">supplier_transaction(supplier_name=Jindal steel, item_name=sariya, quantity=250, unit=kg, amount=13000, destination_location=gudam, date=T)</t>
  </si>
  <si>
    <t xml:space="preserve">supplier_transaction(rate=52.0, unit=kg, amount=13000.0, quantity=250.0, item_name=sariya, supplier_name=jindal, transaction_date=2026-10-08, destination_location=Gudam) | asked: material_movement</t>
  </si>
  <si>
    <t xml:space="preserve">FIN-SUP-12</t>
  </si>
  <si>
    <t xml:space="preserve">Gill saw mill Charkhi Dadri road pe hai, number 9896011223</t>
  </si>
  <si>
    <t xml:space="preserve">manage_supplier(supplier_name=Gill saw mill)</t>
  </si>
  <si>
    <t xml:space="preserve">manage_supplier: no entry, no question (route=accounting)</t>
  </si>
  <si>
    <t xml:space="preserve">FIN-SUP-13</t>
  </si>
  <si>
    <t xml:space="preserve">Jindal steel se sariya aa gaya, bill baad mein aayega</t>
  </si>
  <si>
    <t xml:space="preserve">supplier_transaction(supplier_name=Jindal steel, item_name=sariya, date=T)</t>
  </si>
  <si>
    <t xml:space="preserve">supplier_transaction(note=bill baad mein aayega, item_name=sariya, supplier_name=Jindal steel, transaction_date=2026-10-08) | asked: material_movement, material_movement</t>
  </si>
  <si>
    <t xml:space="preserve">FIN-SUP-14</t>
  </si>
  <si>
    <t xml:space="preserve">Jindal steel se 3 quintal sariya 15600 ka gudam aaya, 10000 diye, Kitanu trolley laya</t>
  </si>
  <si>
    <t xml:space="preserve">supplier_transaction(supplier_name=Jindal steel, item_name=sariya, quantity=3, unit=quintal, amount=15600, destination_location=gudam, driver_name=Kitanu, date=T)</t>
  </si>
  <si>
    <t xml:space="preserve">supplier_transaction(unit=kg, amount=15600.0, quantity=300.0, item_name=sariya, supplier_name=Jindal steel, transaction_date=2026-10-08, destination_location=Gudam) | asked: material_movement</t>
  </si>
  <si>
    <t xml:space="preserve">record_supplier_transaction: driver_name ≠Kitanu · record_supplier_payment: no entry, no question (route=accounting)</t>
  </si>
  <si>
    <t xml:space="preserve">supplier_payment(supplier_name=Jindal steel, amount=10000, date=T)</t>
  </si>
  <si>
    <t xml:space="preserve">FIN-SUP-15</t>
  </si>
  <si>
    <t xml:space="preserve">Gill saw mill wale bol rahe the agle mahine shahteer mehenga hoga</t>
  </si>
  <si>
    <t xml:space="preserve">FIN-EXP-01</t>
  </si>
  <si>
    <t xml:space="preserve">Kalanaur nikalne se pehle tractor mein 2500 ka tel daala</t>
  </si>
  <si>
    <t xml:space="preserve">expense(category=fuel, amount=2500, date=T)</t>
  </si>
  <si>
    <t xml:space="preserve">expense(note=Kalanaur nikalne se pehle, amount=2500.0, category=fuel, description=tel, expense_date=2026-10-07); expense_payment(note=Kalanaur nikalne se pehle tractor mein daala, amount=2500.0, description=tel, payment_date=2026-10-07)</t>
  </si>
  <si>
    <t xml:space="preserve">record_expense: date 2026-10-07≠2026-10-08 · record_expense_payment: date 2026-10-07≠2026-10-08</t>
  </si>
  <si>
    <t xml:space="preserve">expense_payment(amount=2500, date=T)</t>
  </si>
  <si>
    <t xml:space="preserve">FIN-EXP-02</t>
  </si>
  <si>
    <t xml:space="preserve">Gas cutter ka cylinder bharwaya 1100 laga</t>
  </si>
  <si>
    <t xml:space="preserve">expense(category=fuel, amount=1100, date=T)</t>
  </si>
  <si>
    <t xml:space="preserve">family_transaction(amount=1100.0, purpose=cylinder bharwaya, member_name=Ghar, transaction_date=2026-10-08, transaction_type=kharcha)</t>
  </si>
  <si>
    <t xml:space="preserve">record_expense: no entry, no question (route=accounting) · record_expense_payment: no entry, no question (route=accounting) · EXTRA entry: record_family_transaction Ghar 1100.0</t>
  </si>
  <si>
    <t xml:space="preserve">expense_payment(amount=1100, date=T)</t>
  </si>
  <si>
    <t xml:space="preserve">FIN-EXP-03</t>
  </si>
  <si>
    <t xml:space="preserve">JCB 3 ghante chali Haluwas site pe, 3600 de diye</t>
  </si>
  <si>
    <t xml:space="preserve">expense(category=rent, amount=3600, date=T)</t>
  </si>
  <si>
    <t xml:space="preserve">work_log(note=3 ghante, description=JCB chali, activity_date=2026-10-08, location_name=Haluwas, location_type=site)</t>
  </si>
  <si>
    <t xml:space="preserve">record_expense: no entry, no question (route=accounting) · record_expense_payment: no entry, no question (route=accounting) · EXTRA entry: record_work_log  </t>
  </si>
  <si>
    <t xml:space="preserve">expense_payment(amount=3600, date=T)</t>
  </si>
  <si>
    <t xml:space="preserve">FIN-EXP-04</t>
  </si>
  <si>
    <t xml:space="preserve">Bijli wale ko gudam ke meter ke 2300 de aaye</t>
  </si>
  <si>
    <t xml:space="preserve">expense(category=misc, amount=2300, date=T)</t>
  </si>
  <si>
    <t xml:space="preserve">expense_payment(amount=2300, date=T)</t>
  </si>
  <si>
    <t xml:space="preserve">FIN-EXP-05</t>
  </si>
  <si>
    <t xml:space="preserve">Trolley pankchar ho gayi thi raste mein, 150 ka lagwaya</t>
  </si>
  <si>
    <t xml:space="preserve">expense(category=repair, amount=150, date=T)</t>
  </si>
  <si>
    <t xml:space="preserve">expense(note=raste mein lagwaya, amount=150.0, category=misc, description=trolley pankchar, expense_date=2026-10-08); expense_payment(note=raste mein, amount=150.0, description=trolley pankchar, payment_date=2026-10-08)</t>
  </si>
  <si>
    <t xml:space="preserve">record_expense: category misc≠repair; category misc≠repair</t>
  </si>
  <si>
    <t xml:space="preserve">FIN-EXP-06</t>
  </si>
  <si>
    <t xml:space="preserve">Is mahine ki dukaan ki 6000 kiraye ki rakam baad mein denge</t>
  </si>
  <si>
    <t xml:space="preserve">expense(category=rent, amount=6000, date=T)</t>
  </si>
  <si>
    <t xml:space="preserve">record_expense: no entry, no question (route=accounting)</t>
  </si>
  <si>
    <t xml:space="preserve">FIN-EXP-07</t>
  </si>
  <si>
    <t xml:space="preserve">Labour ko dopahar mein samose khilaye 240 ke</t>
  </si>
  <si>
    <t xml:space="preserve">expense(category=misc, amount=240, date=T)</t>
  </si>
  <si>
    <t xml:space="preserve">expense(note=Labour ko dopahar mein, amount=240.0, category=misc, description=samose khilaye, expense_date=2026-10-08); expense_payment(note=dopahar mein, amount=240.0, description=samose, payment_date=2026-10-08)</t>
  </si>
  <si>
    <t xml:space="preserve">expense_payment(amount=240, date=T)</t>
  </si>
  <si>
    <t xml:space="preserve">FIN-EXP-08</t>
  </si>
  <si>
    <t xml:space="preserve">Cutter machine theek karwayi, 850 ka kharcha</t>
  </si>
  <si>
    <t xml:space="preserve">expense(category=repair, amount=850, date=T)</t>
  </si>
  <si>
    <t xml:space="preserve">expense(amount=850.0, category=repair, description=cutter machine theek karwayi, expense_date=2026-10-08); expense_payment(amount=850.0, description=cutter machine theek karwayi, payment_date=2026-10-08)</t>
  </si>
  <si>
    <t xml:space="preserve">expense_payment(amount=850, date=T)</t>
  </si>
  <si>
    <t xml:space="preserve">FIN-EXP-09</t>
  </si>
  <si>
    <t xml:space="preserve">Aaj 500 ka petrol bike mein</t>
  </si>
  <si>
    <t xml:space="preserve">expense(category=fuel, amount=500, date=T)</t>
  </si>
  <si>
    <t xml:space="preserve">expense(note=bike mein bhara, amount=500.0, category=fuel, description=petrol, expense_date=2026-10-08); expense_payment(note=bike mein bhara, amount=500.0, description=petrol, payment_date=2026-10-08)</t>
  </si>
  <si>
    <t xml:space="preserve">expense_payment(amount=500, date=T)</t>
  </si>
  <si>
    <t xml:space="preserve">FIN-EXP-10</t>
  </si>
  <si>
    <t xml:space="preserve">Phone recharge 299 ka karwaya</t>
  </si>
  <si>
    <t xml:space="preserve">expense(category=misc, amount=299, date=T)</t>
  </si>
  <si>
    <t xml:space="preserve">expense(amount=299.0, category=misc, description=phone recharge, expense_date=2026-10-08); expense_payment(amount=299.0, description=phone recharge, payment_date=2026-10-08)</t>
  </si>
  <si>
    <t xml:space="preserve">expense_payment(amount=299, date=T)</t>
  </si>
  <si>
    <t xml:space="preserve">FIN-EXP-11</t>
  </si>
  <si>
    <t xml:space="preserve">dhai sau ki rassi aur taala laaye gudam ke liye</t>
  </si>
  <si>
    <t xml:space="preserve">expense(category=misc, amount=250, date=T)</t>
  </si>
  <si>
    <t xml:space="preserve">expense_payment(amount=250, date=T)</t>
  </si>
  <si>
    <t xml:space="preserve">FIN-EXP-12</t>
  </si>
  <si>
    <t xml:space="preserve">JCB wale ke purane 1800 aaj chuka diye</t>
  </si>
  <si>
    <t xml:space="preserve">expense_payment(amount=1800, date=T)</t>
  </si>
  <si>
    <t xml:space="preserve">employee_transaction(note=purane, amount=1800.0, employee_name=JCB, transaction_date=2026-10-08, transaction_type=payment)</t>
  </si>
  <si>
    <t xml:space="preserve">record_expense_payment: no entry, no question (route=accounting) · EXTRA entry: record_employee_transaction JCB 1800.0</t>
  </si>
  <si>
    <t xml:space="preserve">FIN-EXP-13</t>
  </si>
  <si>
    <t xml:space="preserve">Tractor ki service karwa li</t>
  </si>
  <si>
    <t xml:space="preserve">FIN-EXP-14</t>
  </si>
  <si>
    <t xml:space="preserve">Diesel 2000 ka, tyre 1500 ka badalwaya, aur 100 ki chai</t>
  </si>
  <si>
    <t xml:space="preserve">expense(category=fuel, amount=2000, date=T)</t>
  </si>
  <si>
    <t xml:space="preserve">expense(amount=2000.0, category=repair, description=diesel, expense_date=2026-10-08); expense_payment(amount=2000.0, description=diesel, payment_date=2026-10-08); expense(amount=1500.0, category=repair, description=Tyre badalwaya, expense_date=2026-10-08); expense_payment(amount=1500.0, description=Tyre, payment_date=2026-10-08); expense(amount=100.0, category=misc, description=Chai, expense_date=2026-10-08); expense_payment(amount=100.0, description=chai, payment_date=2026-10-08)</t>
  </si>
  <si>
    <t xml:space="preserve">record_expense: category repair≠fuel; category repair≠fuel</t>
  </si>
  <si>
    <t xml:space="preserve">expense_payment(amount=2000, date=T)</t>
  </si>
  <si>
    <t xml:space="preserve">expense(category=repair, amount=1500, date=T)</t>
  </si>
  <si>
    <t xml:space="preserve">5</t>
  </si>
  <si>
    <t xml:space="preserve">expense(category=misc, amount=100, date=T)</t>
  </si>
  <si>
    <t xml:space="preserve">6</t>
  </si>
  <si>
    <t xml:space="preserve">expense_payment(amount=100, date=T)</t>
  </si>
  <si>
    <t xml:space="preserve">FIN-EXP-15</t>
  </si>
  <si>
    <t xml:space="preserve">Kal gudam ki bijli wala aayega, 3000 lagenge shayad</t>
  </si>
  <si>
    <t xml:space="preserve">FIN-FAM-01</t>
  </si>
  <si>
    <t xml:space="preserve">Mummy ne ghar ke kharche ke liye 3000 maange the, de diye</t>
  </si>
  <si>
    <t xml:space="preserve">family_transaction(member_name=Mummy, transaction_type=kharcha, amount=3000, date=T)</t>
  </si>
  <si>
    <t xml:space="preserve">family_transaction(amount=3000.0, purpose=ghar ke kharche ke liye, member_name=Mummy, transaction_date=2026-10-08, transaction_type=kharcha); family_transaction(amount=3000.0, member_name=Mummy, transaction_date=2026-10-08, transaction_type=kharcha)</t>
  </si>
  <si>
    <t xml:space="preserve">EXTRA entry: record_family_transaction Mummy 3000.0</t>
  </si>
  <si>
    <t xml:space="preserve">FIN-FAM-02</t>
  </si>
  <si>
    <t xml:space="preserve">Papa 1500 le gaye galle se, mandi jana tha</t>
  </si>
  <si>
    <t xml:space="preserve">family_transaction(member_name=Papa, transaction_type=kharcha, amount=1500, date=T)</t>
  </si>
  <si>
    <t xml:space="preserve">family_transaction(note=galle se, amount=1500.0, member_name=Papa, transaction_date=2026-10-08, transaction_type=kharcha)</t>
  </si>
  <si>
    <t xml:space="preserve">FIN-FAM-03</t>
  </si>
  <si>
    <t xml:space="preserve">Chhote ki college fees 18000 bhari</t>
  </si>
  <si>
    <t xml:space="preserve">family_transaction(member_name=Chhote, transaction_type=kharcha, amount=18000, date=T)</t>
  </si>
  <si>
    <t xml:space="preserve">family_transaction(amount=18000.0, purpose=college fees, member_name=Chhote, transaction_date=2026-10-08, transaction_type=kharcha)</t>
  </si>
  <si>
    <t xml:space="preserve">FIN-FAM-04</t>
  </si>
  <si>
    <t xml:space="preserve">Ghar ke liye 25 kilo aata aur daal 1800 ki aayi</t>
  </si>
  <si>
    <t xml:space="preserve">family_transaction(transaction_type=kharcha, amount=1800, date=T)</t>
  </si>
  <si>
    <t xml:space="preserve">family_transaction(note=aata aaya, amount=25.0, purpose=ghar ke liye, member_name=Ghar, transaction_date=2026-10-08, transaction_type=jama); family_transaction(amount=1800.0, purpose=ghar ke liye, member_name=Ghar, transaction_date=2026-10-08, transaction_type=kharcha)</t>
  </si>
  <si>
    <t xml:space="preserve">record_family_transaction: transaction_type jama≠kharcha; amount 25.0≠1800 · EXTRA entry: record_family_transaction Ghar 1800.0</t>
  </si>
  <si>
    <t xml:space="preserve">FIN-FAM-05</t>
  </si>
  <si>
    <t xml:space="preserve">Bhai apne 5000 lauta gaya, galle mein rakh diye</t>
  </si>
  <si>
    <t xml:space="preserve">family_transaction(member_name=Bhai, transaction_type=jama, amount=5000, date=T)</t>
  </si>
  <si>
    <t xml:space="preserve">FIN-FAM-06</t>
  </si>
  <si>
    <t xml:space="preserve">Didi ki shaadi ke shagun ke 11000 nikale</t>
  </si>
  <si>
    <t xml:space="preserve">family_transaction(member_name=Didi, transaction_type=kharcha, amount=11000, date=T)</t>
  </si>
  <si>
    <t xml:space="preserve">family_transaction(amount=11000.0, purpose=shaadi ke shagun, member_name=Didi, transaction_date=2026-10-08, transaction_type=kharcha)</t>
  </si>
  <si>
    <t xml:space="preserve">FIN-FAM-07</t>
  </si>
  <si>
    <t xml:space="preserve">Ghar ka gas cylinder 950 ka aaya</t>
  </si>
  <si>
    <t xml:space="preserve">family_transaction(transaction_type=kharcha, amount=950, date=T)</t>
  </si>
  <si>
    <t xml:space="preserve">family_transaction(amount=950.0, purpose=gas cylinder, member_name=Ghar, transaction_date=2026-10-08, transaction_type=kharcha)</t>
  </si>
  <si>
    <t xml:space="preserve">FIN-FAM-08</t>
  </si>
  <si>
    <t xml:space="preserve">Papa dukaan se 2000 le gaye the, 500 wapas kar gaye aaj</t>
  </si>
  <si>
    <t xml:space="preserve">family_transaction(member_name=Papa, transaction_type=jama, amount=500, date=T)</t>
  </si>
  <si>
    <t xml:space="preserve">family_transaction(amount=500.0, member_name=Papa, transaction_date=2026-10-08, transaction_type=jama) | asked: material_movement</t>
  </si>
  <si>
    <t xml:space="preserve">FIN-FAM-09</t>
  </si>
  <si>
    <t xml:space="preserve">Maa ko dawai ke 450 de diye</t>
  </si>
  <si>
    <t xml:space="preserve">family_transaction(member_name=Maa, transaction_type=kharcha, amount=450, date=T)</t>
  </si>
  <si>
    <t xml:space="preserve">family_transaction(amount=450.0, purpose=dawai, member_name=Maa, transaction_date=2026-10-08, transaction_type=kharcha)</t>
  </si>
  <si>
    <t xml:space="preserve">FIN-FAM-10</t>
  </si>
  <si>
    <t xml:space="preserve">Beta 200 le gaya</t>
  </si>
  <si>
    <t xml:space="preserve">family_transaction(member_name=Beta, transaction_type=kharcha, amount=200, date=T)</t>
  </si>
  <si>
    <t xml:space="preserve">family_transaction(amount=200.0, member_name=Beta, transaction_date=2026-10-08, transaction_type=kharcha)</t>
  </si>
  <si>
    <t xml:space="preserve">FIN-FAM-11</t>
  </si>
  <si>
    <t xml:space="preserve">chhote bhai rohit ko kitab ke liye teen sau</t>
  </si>
  <si>
    <t xml:space="preserve">family_transaction(member_name=Rohit, transaction_type=kharcha, amount=300, date=T)</t>
  </si>
  <si>
    <t xml:space="preserve">family_transaction(amount=300.0, purpose=kitab ke liye, relation=bhai, member_name=rohit, transaction_date=2026-10-08, transaction_type=kharcha)</t>
  </si>
  <si>
    <t xml:space="preserve">FIN-FAM-12</t>
  </si>
  <si>
    <t xml:space="preserve">Ghar nahi, gudam ke liye paani ka tanker mangwaya 700 ka</t>
  </si>
  <si>
    <t xml:space="preserve">expense(category=misc, amount=700, date=T)</t>
  </si>
  <si>
    <t xml:space="preserve">expense_payment(amount=700, date=T)</t>
  </si>
  <si>
    <t xml:space="preserve">FIN-FAM-13</t>
  </si>
  <si>
    <t xml:space="preserve">Papa aaj phir galle se paise utha le gaye, gine nahi</t>
  </si>
  <si>
    <t xml:space="preserve">asked/stopped: missing_argument: record_family_transaction ['amount']</t>
  </si>
  <si>
    <t xml:space="preserve">FIN-FAM-14</t>
  </si>
  <si>
    <t xml:space="preserve">Mummy ko 2000 diye aur Bhai ne 1000 galle mein daale</t>
  </si>
  <si>
    <t xml:space="preserve">family_transaction(member_name=Mummy, transaction_type=kharcha, amount=2000, date=T)</t>
  </si>
  <si>
    <t xml:space="preserve">family_transaction(amount=2000.0, member_name=Mummy, transaction_date=2026-10-08, transaction_type=kharcha); family_transaction(note=galle mein daale, amount=1000.0, member_name=Bhai, transaction_date=2026-10-08, transaction_type=jama)</t>
  </si>
  <si>
    <t xml:space="preserve">family_transaction(member_name=Bhai, transaction_type=jama, amount=1000, date=T)</t>
  </si>
  <si>
    <t xml:space="preserve">FIN-FAM-15</t>
  </si>
  <si>
    <t xml:space="preserve">Agle mahine behen ki shaadi hai, 50000 rakhne padenge</t>
  </si>
  <si>
    <t xml:space="preserve">family_transaction(note=Agle mahine, amount=50000.0, purpose=shaadi, member_name=behen, transaction_date=2026-11-01, transaction_type=kharcha)</t>
  </si>
  <si>
    <t xml:space="preserve">FIN-STK-01</t>
  </si>
  <si>
    <t xml:space="preserve">Haluwas site se 40 darwaze aur 25 chaukhat gudam aaye trolley mein</t>
  </si>
  <si>
    <t xml:space="preserve">material_movement(item_name=darwaza, quantity=40, source_name=haluwas, destination_name=gudam, date=T)</t>
  </si>
  <si>
    <t xml:space="preserve">material_movement(unit=trolley, quantity=40.0, item_name=darwaze, source_name=Haluwas site, source_type=site, movement_date=2026-10-08, destination_name=Gudam, destination_type=storage); material_movement(unit=trolley, quantity=25.0, item_name=chaukhat, source_name=Haluwas site, source_type=site, movement_date=2026-10-08, movement_type=aaye, destination_name=Gudam, destination_type=storage) | asked: material_movement</t>
  </si>
  <si>
    <t xml:space="preserve">material_movement(item_name=chaukhat, quantity=25, source_name=haluwas, destination_name=gudam, date=T)</t>
  </si>
  <si>
    <t xml:space="preserve">FIN-STK-02</t>
  </si>
  <si>
    <t xml:space="preserve">Gudam se dukaan 500 eent bheji, Kitanu le gaya</t>
  </si>
  <si>
    <t xml:space="preserve">material_movement(item_name=eent, quantity=500, source_name=gudam, destination_name=shop, date=T)</t>
  </si>
  <si>
    <t xml:space="preserve">material_movement(note=Kitanu le gaya, quantity=500.0, item_name=eent, source_name=Gudam, source_type=storage, movement_date=2026-10-08, movement_type=bheji, destination_name=Dukaan, destination_type=storage)</t>
  </si>
  <si>
    <t xml:space="preserve">FIN-STK-03</t>
  </si>
  <si>
    <t xml:space="preserve">Chhat todne ko Dhani wali site pe 6 aadmi lagaye the aaj</t>
  </si>
  <si>
    <t xml:space="preserve">work_log(location_type=site, location_name=dhani, labour_count=6, date=T)</t>
  </si>
  <si>
    <t xml:space="preserve">work_log(description=chhat todne ka kaam, labour_count=6, activity_date=2026-10-08, location_name=Dhani wali, location_type=site)</t>
  </si>
  <si>
    <t xml:space="preserve">FIN-STK-04</t>
  </si>
  <si>
    <t xml:space="preserve">Hisab milaya to gudam mein 60 eent faltu padi mili</t>
  </si>
  <si>
    <t xml:space="preserve">adjustment(location=gudam, item_name=eent, quantity_change=60, date=T)</t>
  </si>
  <si>
    <t xml:space="preserve">FIN-STK-05</t>
  </si>
  <si>
    <t xml:space="preserve">Dukaan pe rakhe 4 shahteer deemak lag ke kharab ho gaye</t>
  </si>
  <si>
    <t xml:space="preserve">adjustment(location=shop, item_name=shahteer, quantity_change=-4, date=T)</t>
  </si>
  <si>
    <t xml:space="preserve">adjustment(unit=piece, reason=damage, location=dukaan, item_name=shahteer deemak, adjustment_date=2026-10-08, quantity_change=-4.0)</t>
  </si>
  <si>
    <t xml:space="preserve">FIN-STK-06</t>
  </si>
  <si>
    <t xml:space="preserve">Kalanaur wali kothi se 3 trolley malba gudam pahunchaya</t>
  </si>
  <si>
    <t xml:space="preserve">material_movement(item_name=malba, quantity=3, source_name=kalanaur, destination_name=gudam, date=T)</t>
  </si>
  <si>
    <t xml:space="preserve">material_movement(unit=trolley, quantity=3.0, item_name=malba, source_name=Kalanaur wali kothi, source_type=site, movement_date=2026-10-07, movement_type=pahunchaya, destination_name=Gudam, destination_type=storage)</t>
  </si>
  <si>
    <t xml:space="preserve">record_material_movement: date 2026-10-07≠2026-10-08</t>
  </si>
  <si>
    <t xml:space="preserve">FIN-STK-07</t>
  </si>
  <si>
    <t xml:space="preserve">Dukaan se 10 girder wapas gudam rakhwaye</t>
  </si>
  <si>
    <t xml:space="preserve">material_movement(item_name=girder, quantity=10, source_name=shop, destination_name=gudam, date=T)</t>
  </si>
  <si>
    <t xml:space="preserve">material_movement(note=rakhwaye, quantity=10.0, item_name=girder, source_name=Dukaan, source_type=storage, movement_date=2026-10-08, movement_type=wapas, destination_name=Gudam, destination_type=storage)</t>
  </si>
  <si>
    <t xml:space="preserve">FIN-STK-08</t>
  </si>
  <si>
    <t xml:space="preserve">Haluwas site pe 2 mistri aur 4 beldar the, deewar giraayi</t>
  </si>
  <si>
    <t xml:space="preserve">work_log(location_type=site, location_name=haluwas, labour_count=6, date=T)</t>
  </si>
  <si>
    <t xml:space="preserve">work_log(description=deewar giraayi, labour_count=6, activity_date=2026-10-08, location_name=Haluwas, location_type=site)</t>
  </si>
  <si>
    <t xml:space="preserve">FIN-STK-09</t>
  </si>
  <si>
    <t xml:space="preserve">300 eent gudam se uthwa ke dukaan pe lagwa di</t>
  </si>
  <si>
    <t xml:space="preserve">material_movement(item_name=eent, quantity=300, source_name=gudam, destination_name=shop, date=T)</t>
  </si>
  <si>
    <t xml:space="preserve">material_movement(quantity=300.0, item_name=eent, source_name=Gudam, source_type=storage, movement_date=2026-10-08, movement_type=lagwa, movement_reason=uthwa, destination_name=Dukaan, destination_type=storage)</t>
  </si>
  <si>
    <t xml:space="preserve">FIN-STK-10</t>
  </si>
  <si>
    <t xml:space="preserve">Utaarte hue 15 eent phoot gayi gudam pe</t>
  </si>
  <si>
    <t xml:space="preserve">adjustment(location=gudam, item_name=eent, quantity_change=-15, date=T)</t>
  </si>
  <si>
    <t xml:space="preserve">adjustment(unit=piece, reason=damage, location=gudam, item_name=eent, adjustment_date=2026-10-08, quantity_change=-15.0)</t>
  </si>
  <si>
    <t xml:space="preserve">FIN-STK-11</t>
  </si>
  <si>
    <t xml:space="preserve">gudm se sau chaukhat haluwas wali site bheji</t>
  </si>
  <si>
    <t xml:space="preserve">material_movement(item_name=chaukhat, quantity=100, source_name=gudam, destination_name=haluwas, date=T)</t>
  </si>
  <si>
    <t xml:space="preserve">FIN-STK-12</t>
  </si>
  <si>
    <t xml:space="preserve">Kitanu tractor se Haluwas se 2 trolley lakdi seedha dukaan le aaya</t>
  </si>
  <si>
    <t xml:space="preserve">material_movement(item_name=lakdi, quantity=2, source_name=haluwas, destination_name=shop, date=T)</t>
  </si>
  <si>
    <t xml:space="preserve">material_movement(note=seedha, unit=trolley, quantity=2.0, item_name=lakdi, source_name=Haluwas, source_type=site, movement_date=2026-10-08, movement_type=le aaya, destination_name=Dukaan, destination_type=storage) | asked: material_movement</t>
  </si>
  <si>
    <t xml:space="preserve">FIN-STK-13</t>
  </si>
  <si>
    <t xml:space="preserve">Site se kuch darwaze gudam aa gaye</t>
  </si>
  <si>
    <t xml:space="preserve">FIN-STK-14</t>
  </si>
  <si>
    <t xml:space="preserve">Gudam se 400 eent Dhani site gayi, wahan 3 labour lage, 20 eent raaste mein tooti</t>
  </si>
  <si>
    <t xml:space="preserve">material_movement(item_name=eent, quantity=400, source_name=gudam, destination_name=dhani, date=T)</t>
  </si>
  <si>
    <t xml:space="preserve">record_material_movement: no entry, no question (route=accounting) · record_work_log: no entry, no question (route=accounting) · record_adjustment: no entry, no question (route=accounting)</t>
  </si>
  <si>
    <t xml:space="preserve">adjustment(location=, item_name=eent, quantity_change=-20, date=T)</t>
  </si>
  <si>
    <t xml:space="preserve">FIN-STK-15</t>
  </si>
  <si>
    <t xml:space="preserve">Kal Haluwas se baaki malba uthwana hai</t>
  </si>
  <si>
    <t xml:space="preserve">work_log(description=baaki malba uthwana, activity_date=2026-10-07, location_name=Haluwas, location_type=site)</t>
  </si>
  <si>
    <t xml:space="preserve">entry made: record_work_log</t>
  </si>
  <si>
    <t xml:space="preserve">FIN-PUR-01</t>
  </si>
  <si>
    <t xml:space="preserve">Kalanaur mein Jagbir ki purani haveli 6 lakh mein todne ke liye li</t>
  </si>
  <si>
    <t xml:space="preserve">purchase(seller_name=Jagbir, total_amount=600000, date=T)</t>
  </si>
  <si>
    <t xml:space="preserve">purchase(location=Kalanaur, description=purani haveli todne ke liye deal, seller_name=Jagbir, total_amount=600000.0, purchase_date=2026-10-07)</t>
  </si>
  <si>
    <t xml:space="preserve">record_purchase: date 2026-10-07≠2026-10-08</t>
  </si>
  <si>
    <t xml:space="preserve">FIN-PUR-02</t>
  </si>
  <si>
    <t xml:space="preserve">Jagbir ko haveli ka 1 lakh bayana diya</t>
  </si>
  <si>
    <t xml:space="preserve">purchase_payment(seller_name=Jagbir, amount=100000, date=T)</t>
  </si>
  <si>
    <t xml:space="preserve">purchase_payment(note=haveli ka bayana, amount=100000.0, seller_name=Jagbir, payment_date=2026-10-08)</t>
  </si>
  <si>
    <t xml:space="preserve">FIN-PUR-03</t>
  </si>
  <si>
    <t xml:space="preserve">Dhani mein Ramphal ji ka purana makaan 3.5 lakh mein le liya, 50000 abhi diye</t>
  </si>
  <si>
    <t xml:space="preserve">purchase(seller_name=Ramphal ji, total_amount=350000, date=T)</t>
  </si>
  <si>
    <t xml:space="preserve">purchase(note=50000 abhi diye, location=Dhani, description=purana makaan, seller_name=Ramphal ji, total_amount=350000.0, purchase_date=2026-10-08); purchase_payment(note=purana makaan, amount=50000.0, seller_name=Ramphal ji, payment_date=2026-10-08)</t>
  </si>
  <si>
    <t xml:space="preserve">purchase_payment(seller_name=Ramphal ji, amount=50000, date=T)</t>
  </si>
  <si>
    <t xml:space="preserve">FIN-PUR-04</t>
  </si>
  <si>
    <t xml:space="preserve">Gas cutter machine 18000 ki nayi li</t>
  </si>
  <si>
    <t xml:space="preserve">purchase(seller_name=None, total_amount=18000, date=T)</t>
  </si>
  <si>
    <t xml:space="preserve">expense(note=nayi li, amount=18000.0, category=misc, description=Gas cutter machine, expense_date=2026-10-08); expense_payment(amount=18000.0, description=Gas cutter machine, payment_date=2026-10-08)</t>
  </si>
  <si>
    <t xml:space="preserve">record_purchase: no entry, no question (route=accounting) · EXTRA entry: record_expense  18000.0</t>
  </si>
  <si>
    <t xml:space="preserve">FIN-PUR-05</t>
  </si>
  <si>
    <t xml:space="preserve">Jagbir ko 2 lakh aur pakdaye haveli ke</t>
  </si>
  <si>
    <t xml:space="preserve">purchase_payment(seller_name=Jagbir, amount=200000, date=T)</t>
  </si>
  <si>
    <t xml:space="preserve">purchase_payment(note=haveli ke, amount=200000.0, seller_name=Jagbir, payment_date=2026-10-08)</t>
  </si>
  <si>
    <t xml:space="preserve">FIN-PUR-06</t>
  </si>
  <si>
    <t xml:space="preserve">Satpal ji se Haluwas wali kothi le li, chaar lakh mein baat bani</t>
  </si>
  <si>
    <t xml:space="preserve">purchase(seller_name=Satpal ji, total_amount=400000, date=T)</t>
  </si>
  <si>
    <t xml:space="preserve">purchase(note=baat bani, description=Haluwas wali kothi le li, seller_name=Satpal ji, total_amount=400000.0, purchase_date=2026-10-08)</t>
  </si>
  <si>
    <t xml:space="preserve">FIN-PUR-07</t>
  </si>
  <si>
    <t xml:space="preserve">Purana tractor trolley 1.2 lakh mein liya Bhupi se</t>
  </si>
  <si>
    <t xml:space="preserve">purchase(seller_name=Bhupi, total_amount=120000, date=T)</t>
  </si>
  <si>
    <t xml:space="preserve">expense(note=Bhupi se, amount=120000.0, category=misc, description=Purana tractor trolley, expense_date=2026-10-08); expense_payment(note=Bhupi se, amount=120000.0, description=Purana tractor trolley, payment_date=2026-10-08)</t>
  </si>
  <si>
    <t xml:space="preserve">record_purchase: no entry, no question (route=accounting) · EXTRA entry: record_expense  120000.0</t>
  </si>
  <si>
    <t xml:space="preserve">FIN-PUR-08</t>
  </si>
  <si>
    <t xml:space="preserve">Ramphal ji ka baaki 3 lakh chuka diya, makaan ka hisab khatam</t>
  </si>
  <si>
    <t xml:space="preserve">purchase_payment(seller_name=Ramphal ji, amount=300000, date=T)</t>
  </si>
  <si>
    <t xml:space="preserve">purchase_payment(amount=300000.0, seller_name=Ramphal ji, payment_date=2026-10-08)</t>
  </si>
  <si>
    <t xml:space="preserve">FIN-PUR-09</t>
  </si>
  <si>
    <t xml:space="preserve">Kothi wale Satpal ji ke ghar 50000 pahuncha diye</t>
  </si>
  <si>
    <t xml:space="preserve">purchase_payment(seller_name=Satpal ji, amount=50000, date=T)</t>
  </si>
  <si>
    <t xml:space="preserve">purchase_payment(note=Kothi wale, amount=50000.0, seller_name=Satpal ji, payment_date=2026-10-08)</t>
  </si>
  <si>
    <t xml:space="preserve">FIN-PUR-10</t>
  </si>
  <si>
    <t xml:space="preserve">Naya generator 45000 ka liya</t>
  </si>
  <si>
    <t xml:space="preserve">purchase(seller_name=None, total_amount=45000, date=T)</t>
  </si>
  <si>
    <t xml:space="preserve">expense(amount=45000.0, category=repair, description=naya generator, expense_date=2026-10-08); expense_payment(amount=45000.0, description=naya generator, payment_date=2026-10-08)</t>
  </si>
  <si>
    <t xml:space="preserve">record_purchase: no entry, no question (route=accounting) · EXTRA entry: record_expense  45000.0</t>
  </si>
  <si>
    <t xml:space="preserve">FIN-PUR-11</t>
  </si>
  <si>
    <t xml:space="preserve">satpal ji wali kothi dhai lakh mein tay hui thi, aadhi rakam de di</t>
  </si>
  <si>
    <t xml:space="preserve">purchase_payment(seller_name=Satpal ji, amount=125000, date=T)</t>
  </si>
  <si>
    <t xml:space="preserve">record_purchase_payment: asked missing_argument:record_purchase_payment ['seller_name', 'amount']</t>
  </si>
  <si>
    <t xml:space="preserve">FIN-PUR-12</t>
  </si>
  <si>
    <t xml:space="preserve">jagbeer ki haveli ke 1.5 lac online kiye</t>
  </si>
  <si>
    <t xml:space="preserve">purchase_payment(seller_name=Jagbir, amount=150000, date=T)</t>
  </si>
  <si>
    <t xml:space="preserve">expense_payment(amount=150000.0, description=jagbeer ki haveli, payment_date=2026-10-08)</t>
  </si>
  <si>
    <t xml:space="preserve">record_purchase_payment: no entry, no question (route=accounting) · EXTRA entry: record_expense_payment  150000.0</t>
  </si>
  <si>
    <t xml:space="preserve">FIN-PUR-13</t>
  </si>
  <si>
    <t xml:space="preserve">Dhani wale makaan ka bayana de diya</t>
  </si>
  <si>
    <t xml:space="preserve">FIN-PUR-14</t>
  </si>
  <si>
    <t xml:space="preserve">Bhupi se purani JCB 8 lakh mein li, 3 lakh cheque aur 1 lakh cash diye</t>
  </si>
  <si>
    <t xml:space="preserve">purchase(seller_name=Bhupi, total_amount=800000, date=T)</t>
  </si>
  <si>
    <t xml:space="preserve">purchase(description=purani JCB, seller_name=Bhupi, total_amount=800000.0, purchase_date=2026-10-08); purchase_payment(amount=300000.0, seller_name=Bhupi, payment_date=2026-10-08); purchase_payment(amount=100000.0, seller_name=Bhupi, payment_date=2026-10-08)</t>
  </si>
  <si>
    <t xml:space="preserve">purchase_payment(seller_name=Bhupi, amount=300000, date=T)</t>
  </si>
  <si>
    <t xml:space="preserve">purchase_payment(seller_name=Bhupi, amount=100000, date=T)</t>
  </si>
  <si>
    <t xml:space="preserve">FIN-PUR-15</t>
  </si>
  <si>
    <t xml:space="preserve">Kalanaur mein ek aur haveli dekhi hai, 5 lakh maang rahe hain</t>
  </si>
  <si>
    <t xml:space="preserve">FIN-RPT-01</t>
  </si>
  <si>
    <t xml:space="preserve">Kitanu ka pichle 10 din ka hisab nikalo</t>
  </si>
  <si>
    <t xml:space="preserve">report: route=report, kind=person, person=Kitanu, start=T-9, end=T</t>
  </si>
  <si>
    <t xml:space="preserve">report: kind=person, person_name=kitanu, start=2026-09-29, end=2026-10-08</t>
  </si>
  <si>
    <t xml:space="preserve">FIN-RPT-02</t>
  </si>
  <si>
    <t xml:space="preserve">SBI Bhatte ka khata dikhana zara, is mahine ka</t>
  </si>
  <si>
    <t xml:space="preserve">report: route=report, kind=person, person=SBI Bhatta, start=M0, end=T</t>
  </si>
  <si>
    <t xml:space="preserve">report: kind=person, person_name=SBI Bhatte, start=2026-10-01, end=2026-10-08, stop='SBI Bhatte' ka koi hisab nahi hai.</t>
  </si>
  <si>
    <t xml:space="preserve">report ruki: 'SBI Bhatte' ka koi hisab nahi hai.</t>
  </si>
  <si>
    <t xml:space="preserve">FIN-RPT-03</t>
  </si>
  <si>
    <t xml:space="preserve">Suresh Traders wale pe humara kitna nikalta hai?</t>
  </si>
  <si>
    <t xml:space="preserve">FIN-RPT-04</t>
  </si>
  <si>
    <t xml:space="preserve">Papa ne pichle mahine galle se kitna uthaya</t>
  </si>
  <si>
    <t xml:space="preserve">report: route=report, kind=person, person=Papa, start=PM_S, end=PM_E</t>
  </si>
  <si>
    <t xml:space="preserve">report: kind=cash_flow, start=2026-09-01, end=2026-09-30</t>
  </si>
  <si>
    <t xml:space="preserve">kind cash_flow≠person · naam None≠Papa</t>
  </si>
  <si>
    <t xml:space="preserve">FIN-RPT-05</t>
  </si>
  <si>
    <t xml:space="preserve">15 se 30 september tak ka diesel aur baaki kharcha</t>
  </si>
  <si>
    <t xml:space="preserve">report: route=report, kind=expense, start=09-15, end=09-30</t>
  </si>
  <si>
    <t xml:space="preserve">report: kind=expense, start=2026-09-15, end=2026-09-30, stop=Is duration (15-Sep-2026 se 30-Sep-2026) mein koi hisab nahi hai.</t>
  </si>
  <si>
    <t xml:space="preserve">FIN-RPT-06</t>
  </si>
  <si>
    <t xml:space="preserve">Kal gudam se kahan kahan maal gaya</t>
  </si>
  <si>
    <t xml:space="preserve">report: route=report, kind=material_movement, start=T-1, end=T-1</t>
  </si>
  <si>
    <t xml:space="preserve">report: kind=material_movement, start=2026-10-07, end=2026-10-08, stop=Is duration (07-Oct-2026 se 08-Oct-2026) mein koi hisab nahi hai.</t>
  </si>
  <si>
    <t xml:space="preserve">end 2026-10-08≠['2026-10-07']</t>
  </si>
  <si>
    <t xml:space="preserve">FIN-RPT-07</t>
  </si>
  <si>
    <t xml:space="preserve">Is saal kitni haveliyan kharidi, list do</t>
  </si>
  <si>
    <t xml:space="preserve">report: route=report, kind=purchase, start=Y0, end=T</t>
  </si>
  <si>
    <t xml:space="preserve">report: kind=purchase, start=2026-01-01, end=2026-10-08, stop=Is duration (01-Jan-2026 se 08-Oct-2026) mein koi hisab nahi hai.</t>
  </si>
  <si>
    <t xml:space="preserve">FIN-RPT-08</t>
  </si>
  <si>
    <t xml:space="preserve">kuch report chahiye thi mujhe</t>
  </si>
  <si>
    <t xml:space="preserve">report: route=report</t>
  </si>
  <si>
    <t xml:space="preserve">report: </t>
  </si>
  <si>
    <t xml:space="preserve">FIN-RPT-09</t>
  </si>
  <si>
    <t xml:space="preserve">Sohan ke saath len-den saaf kar diya, 2000 thama diye</t>
  </si>
  <si>
    <t xml:space="preserve">FIN-RPT-10</t>
  </si>
  <si>
    <t xml:space="preserve">Sharma ji ke khate mein 1500 aur chadha do, 3 darwaze le gaye</t>
  </si>
  <si>
    <t xml:space="preserve">FIN-COR-01</t>
  </si>
  <si>
    <t xml:space="preserve">Sohan ki 6 tareekh wali dihadi galat chadh gayi</t>
  </si>
  <si>
    <t xml:space="preserve">correction: route=correction, name=Sohan, date=10-06</t>
  </si>
  <si>
    <t xml:space="preserve">correction: name=Sohan, date=2026-10-06</t>
  </si>
  <si>
    <t xml:space="preserve">FIN-COR-02</t>
  </si>
  <si>
    <t xml:space="preserve">Parso Suresh Traders wali payment do baar likh di galti se</t>
  </si>
  <si>
    <t xml:space="preserve">correction: route=correction, name=Suresh Traders, date=T-2</t>
  </si>
  <si>
    <t xml:space="preserve">correction: name=Suresh Traders, date=2026-10-06</t>
  </si>
  <si>
    <t xml:space="preserve">FIN-COR-03</t>
  </si>
  <si>
    <t xml:space="preserve">Kitanu ko kal absent likh diya, galat hai, wo to aaya tha</t>
  </si>
  <si>
    <t xml:space="preserve">correction: route=correction, name=Kitanu, date=T-1</t>
  </si>
  <si>
    <t xml:space="preserve">FIN-COR-04</t>
  </si>
  <si>
    <t xml:space="preserve">Koi entry galat ho gayi hai, dekhna padega</t>
  </si>
  <si>
    <t xml:space="preserve">FIN-COR-05</t>
  </si>
  <si>
    <t xml:space="preserve">Aaj subah wala diesel wala hisab hata do</t>
  </si>
  <si>
    <t xml:space="preserve">correction: route=correction, date=T</t>
  </si>
  <si>
    <t xml:space="preserve">correction: date=2026-10-08</t>
  </si>
  <si>
    <t xml:space="preserve">FIN-COR-06</t>
  </si>
  <si>
    <t xml:space="preserve">Ram ko aaj 400 diye, aur parso ki uski entry cancel kar do</t>
  </si>
  <si>
    <t xml:space="preserve">correction: route=correction, name=Ram, date=T-2; new entry: {'tool': 'record_employee_transaction', 'name': 'Ram', 'amount': 400}</t>
  </si>
  <si>
    <t xml:space="preserve">correction: name=Ram, date=2026-10-06</t>
  </si>
  <si>
    <t xml:space="preserve">FIN-COR-07</t>
  </si>
  <si>
    <t xml:space="preserve">Gudam ka bijli bill 1900 bhara aaj, kal wala bill galat chadha tha</t>
  </si>
  <si>
    <t xml:space="preserve">correction: route=correction, date=T-1; new entry: {'tool': 'record_expense', 'name': None, 'amount': 1900}</t>
  </si>
  <si>
    <t xml:space="preserve">correction: date=2026-10-07</t>
  </si>
  <si>
    <t xml:space="preserve">FIN-COR-08</t>
  </si>
  <si>
    <t xml:space="preserve">Ram ko 700 pakdaye aaj, pehle 600 bola tha</t>
  </si>
  <si>
    <t xml:space="preserve">correction: route=accounting; new entry: {'tool': 'record_employee_transaction', 'name': 'Ram', 'amount': 700}</t>
  </si>
  <si>
    <t xml:space="preserve">galat: correction samjha · entry nahi bani: {'tool': 'record_employee_transaction', 'name': 'Ram', 'amount': 700}</t>
  </si>
  <si>
    <t xml:space="preserve">FIN-COR-09</t>
  </si>
  <si>
    <t xml:space="preserve">Kitanu ke purane 900 abhi dene hain</t>
  </si>
  <si>
    <t xml:space="preserve">correction: route=accounting; new entry: {'tool': 'record_opening_balance', 'name': 'Kitanu', 'amount': 900}</t>
  </si>
  <si>
    <t xml:space="preserve">no correction | entries: opening_balance(amount=900.0, direction=dena, as_of_date=2026-10-08, party_name=Kitanu, party_type=employee)</t>
  </si>
  <si>
    <t xml:space="preserve">FIN-COR-10</t>
  </si>
  <si>
    <t xml:space="preserve">Sharma ji ne kal wala bacha hua 1000 aaj de diya</t>
  </si>
  <si>
    <t xml:space="preserve">correction: route=accounting; new entry: {'tool': 'record_sale_payment', 'name': 'Sharma ji', 'amount': 1000}</t>
  </si>
  <si>
    <t xml:space="preserve">no correction | entries: sale_payment(note=kal wala bacha hua, amount=1000.0, payment_date=2026-10-07, customer_name=Sharma ji)</t>
  </si>
  <si>
    <t xml:space="preserve">FIN-RTR-01</t>
  </si>
  <si>
    <t xml:space="preserve">Chai bana lo sabke liye</t>
  </si>
  <si>
    <t xml:space="preserve">FIN-RTR-02</t>
  </si>
  <si>
    <t xml:space="preserve">Aaj Bhiwani mein baarish hogi kya?</t>
  </si>
  <si>
    <t xml:space="preserve">FIN-RTR-03</t>
  </si>
  <si>
    <t xml:space="preserve">Tumhara naam kya hai?</t>
  </si>
  <si>
    <t xml:space="preserve">FIN-RTR-04</t>
  </si>
  <si>
    <t xml:space="preserve">Kitanu ki shaadi mein kab chalna hai?</t>
  </si>
  <si>
    <t xml:space="preserve">FIN-RTR-05</t>
  </si>
  <si>
    <t xml:space="preserve">Eent ka kaam aajkal mandi mein kaisa chal raha hai</t>
  </si>
  <si>
    <t xml:space="preserve">FIN-RTR-06</t>
  </si>
  <si>
    <t xml:space="preserve">Sohan subah se gayab hai aaj, aaya hi nahi</t>
  </si>
  <si>
    <t xml:space="preserve">FIN-RTR-07</t>
  </si>
  <si>
    <t xml:space="preserve">Haanji bhai, Suresh Traders ki taraf se 3000 aa gaye</t>
  </si>
  <si>
    <t xml:space="preserve">FIN-RTR-08</t>
  </si>
  <si>
    <t xml:space="preserve">Arre Papa gudam ki chaabi ke saath 500 bhi le gaye</t>
  </si>
  <si>
    <t xml:space="preserve">FIN-RTR-09</t>
  </si>
  <si>
    <t xml:space="preserve">Bhatte wale SBI ko abhi kitna chukana bacha hai?</t>
  </si>
  <si>
    <t xml:space="preserve">FIN-RTR-10</t>
  </si>
  <si>
    <t xml:space="preserve">Bhatte wale SBI ke 4000 abhi chukane bache hain</t>
  </si>
  <si>
    <t xml:space="preserve">Employee bundle — test cases and results (before vs after fixes)</t>
  </si>
  <si>
    <t xml:space="preserve">Yellow = written and locked before the first run · Green = from the runs. Before = v1 code (2026-10-04, all 3 languages) · After = the last FULL run of the bundle after the fixes (Hinglish; every test in one run; run id in the After - Run column).</t>
  </si>
  <si>
    <t xml:space="preserve">After = full 50-test run 2026-10-05 13:49 (A–E), Hinglish.</t>
  </si>
  <si>
    <t xml:space="preserve">Statement (Hindi)</t>
  </si>
  <si>
    <t xml:space="preserve">Statement (English)</t>
  </si>
  <si>
    <t xml:space="preserve">Expected Outcome</t>
  </si>
  <si>
    <t xml:space="preserve">Expected Role</t>
  </si>
  <si>
    <t xml:space="preserve">Expected Tool</t>
  </si>
  <si>
    <t xml:space="preserve">Expected Arguments</t>
  </si>
  <si>
    <t xml:space="preserve">Why this test</t>
  </si>
  <si>
    <t xml:space="preserve">Before — Actual (Hinglish)</t>
  </si>
  <si>
    <t xml:space="preserve">Before — Result (Hinglish)</t>
  </si>
  <si>
    <t xml:space="preserve">Before — Remark</t>
  </si>
  <si>
    <t xml:space="preserve">Before — Result (Hindi)</t>
  </si>
  <si>
    <t xml:space="preserve">Before — Result (English)</t>
  </si>
  <si>
    <t xml:space="preserve">After — Actual (Hinglish)</t>
  </si>
  <si>
    <t xml:space="preserve">After — Result (Hinglish)</t>
  </si>
  <si>
    <t xml:space="preserve">After — Remark</t>
  </si>
  <si>
    <t xml:space="preserve">After — Run</t>
  </si>
  <si>
    <t xml:space="preserve">EMP-A-01</t>
  </si>
  <si>
    <t xml:space="preserve">Sohan ko aaj 700 rupaye de diye</t>
  </si>
  <si>
    <t xml:space="preserve">सोहन को आज 700 रुपये दे दिए</t>
  </si>
  <si>
    <t xml:space="preserve">Gave Sohan 700 rupees today</t>
  </si>
  <si>
    <t xml:space="preserve">record_employee_transaction</t>
  </si>
  <si>
    <t xml:space="preserve">employee_name=Sohan; transaction_type=payment; amount=700; date=T</t>
  </si>
  <si>
    <t xml:space="preserve">Most common daily payment</t>
  </si>
  <si>
    <t xml:space="preserve">employee_transaction(transaction_type=payment, amount=700.0, employee_name=Sohan; 2026-10-04)</t>
  </si>
  <si>
    <t xml:space="preserve">employee_transaction(employee_name=Sohan, transaction_type=payment, amount=700, date=2026-10-05)</t>
  </si>
  <si>
    <t xml:space="preserve">1349</t>
  </si>
  <si>
    <t xml:space="preserve">EMP-A-02</t>
  </si>
  <si>
    <t xml:space="preserve">Kitanu aaj subah se shaam tak kaam pe tha</t>
  </si>
  <si>
    <t xml:space="preserve">कितनू आज सुबह से शाम तक काम पे था</t>
  </si>
  <si>
    <t xml:space="preserve">Kitanu was at work from morning till evening today</t>
  </si>
  <si>
    <t xml:space="preserve">record_attendance</t>
  </si>
  <si>
    <t xml:space="preserve">employee_name=Kitanu; attendance=P; date=T</t>
  </si>
  <si>
    <t xml:space="preserve">Full-day attendance without the word 'present'</t>
  </si>
  <si>
    <t xml:space="preserve">asked amount (employee_transaction)</t>
  </si>
  <si>
    <t xml:space="preserve">Picked work entry (asked amount) instead of attendance</t>
  </si>
  <si>
    <t xml:space="preserve">attendance(employee_name=Kitanu, attendance=P, driving=absent, note=subah se shaam tak kaam pe tha, date=2026-10-05)</t>
  </si>
  <si>
    <t xml:space="preserve">EMP-A-03</t>
  </si>
  <si>
    <t xml:space="preserve">Sohan ne aaj gudam mein 800 ka kaam kiya</t>
  </si>
  <si>
    <t xml:space="preserve">सोहन ने आज गोदाम में 800 का काम किया</t>
  </si>
  <si>
    <t xml:space="preserve">Sohan did work worth 800 at the warehouse today</t>
  </si>
  <si>
    <t xml:space="preserve">employee_name=Sohan; transaction_type=work; amount=800; date=T</t>
  </si>
  <si>
    <t xml:space="preserve">Daily work entry with place</t>
  </si>
  <si>
    <t xml:space="preserve">employee_transaction(transaction_type=work, amount=800.0, employee_name=Sohan; 2026-10-04)</t>
  </si>
  <si>
    <t xml:space="preserve">employee_transaction(employee_name=Sohan, transaction_type=work, amount=800, note=gudam mein, date=2026-10-05)</t>
  </si>
  <si>
    <t xml:space="preserve">EMP-A-04</t>
  </si>
  <si>
    <t xml:space="preserve">Ram aaj kaam pe nahi aaya, ghar pe kuch kaam tha</t>
  </si>
  <si>
    <t xml:space="preserve">राम आज काम पे नहीं आया, घर पे कुछ काम था</t>
  </si>
  <si>
    <t xml:space="preserve">Ram didn't come to work today, he had something at home</t>
  </si>
  <si>
    <t xml:space="preserve">employee_name=Ram; attendance=absent; date=T</t>
  </si>
  <si>
    <t xml:space="preserve">Absent with a reason that must NOT become a work entry</t>
  </si>
  <si>
    <t xml:space="preserve">went to general chat</t>
  </si>
  <si>
    <t xml:space="preserve">Router sent it to general chat — no entry</t>
  </si>
  <si>
    <t xml:space="preserve">attendance(employee_name=Ram, attendance=absent, driving=absent, note=ghar pe kuch kaam tha, date=2026-10-05)</t>
  </si>
  <si>
    <t xml:space="preserve">EMP-A-05</t>
  </si>
  <si>
    <t xml:space="preserve">Kitanu ne 300 rupaye le liye kharche ke liye</t>
  </si>
  <si>
    <t xml:space="preserve">कितनू ने 300 रुपये ले लिए खर्चे के लिए</t>
  </si>
  <si>
    <t xml:space="preserve">Kitanu took 300 rupees for expenses</t>
  </si>
  <si>
    <t xml:space="preserve">employee_name=Kitanu; transaction_type=payment; amount=300; date=T</t>
  </si>
  <si>
    <t xml:space="preserve">'le liye' = employee took money = payment</t>
  </si>
  <si>
    <t xml:space="preserve">employee_transaction(transaction_type=payment, amount=300.0, employee_name=Kitanu; 2026-10-04)</t>
  </si>
  <si>
    <t xml:space="preserve">employee_transaction(employee_name=Kitanu, transaction_type=payment, amount=300, note=kharche ke liye, date=2026-10-05)</t>
  </si>
  <si>
    <t xml:space="preserve">EMP-A-06</t>
  </si>
  <si>
    <t xml:space="preserve">Sohan aaj aadhe din baad ghar chala gaya</t>
  </si>
  <si>
    <t xml:space="preserve">सोहन आज आधे दिन बाद घर चला गया</t>
  </si>
  <si>
    <t xml:space="preserve">Sohan went home after half a day today</t>
  </si>
  <si>
    <t xml:space="preserve">employee_name=Sohan; attendance=half; date=T</t>
  </si>
  <si>
    <t xml:space="preserve">Half day phrased as leaving early</t>
  </si>
  <si>
    <t xml:space="preserve">attendance(employee_name=Sohan, attendance=half, driving=absent, note=ghar chala gaya, date=2026-10-05)</t>
  </si>
  <si>
    <t xml:space="preserve">EMP-A-07</t>
  </si>
  <si>
    <t xml:space="preserve">Ram ne kal 650 ka kaam kiya tha</t>
  </si>
  <si>
    <t xml:space="preserve">राम ने कल 650 का काम किया था</t>
  </si>
  <si>
    <t xml:space="preserve">Ram did work worth 650 yesterday</t>
  </si>
  <si>
    <t xml:space="preserve">employee_name=Ram; transaction_type=work; amount=650; date=T-1</t>
  </si>
  <si>
    <t xml:space="preserve">Past date 'kal'</t>
  </si>
  <si>
    <t xml:space="preserve">employee_transaction(transaction_type=work, amount=650.0, employee_name=Ram; 2026-10-03)</t>
  </si>
  <si>
    <t xml:space="preserve">employee_transaction(employee_name=Ram, transaction_type=work, amount=650, date=2026-10-04)</t>
  </si>
  <si>
    <t xml:space="preserve">EMP-A-08</t>
  </si>
  <si>
    <t xml:space="preserve">Kitanu ne aaj poora din gaadi chalayi</t>
  </si>
  <si>
    <t xml:space="preserve">कितनू ने आज पूरा दिन गाड़ी चलाई</t>
  </si>
  <si>
    <t xml:space="preserve">Kitanu drove the vehicle the whole day today</t>
  </si>
  <si>
    <t xml:space="preserve">employee_name=Kitanu; attendance=P; driving=P; date=T</t>
  </si>
  <si>
    <t xml:space="preserve">Driving without the word 'driving'</t>
  </si>
  <si>
    <t xml:space="preserve">Picked work entry (asked amount) instead of attendance+driving</t>
  </si>
  <si>
    <t xml:space="preserve">attendance(employee_name=Kitanu, attendance=P, driving=P, date=2026-10-05)</t>
  </si>
  <si>
    <t xml:space="preserve">EMP-A-09</t>
  </si>
  <si>
    <t xml:space="preserve">Sohan ko agle hafte ki mazdoori ke 1000 pehle hi de diye</t>
  </si>
  <si>
    <t xml:space="preserve">सोहन को अगले हफ्ते की मज़दूरी के 1000 पहले ही दे दिए</t>
  </si>
  <si>
    <t xml:space="preserve">Gave Sohan 1000 in advance for next week's wages</t>
  </si>
  <si>
    <t xml:space="preserve">employee_name=Sohan; transaction_type=payment; amount=1000; date=T</t>
  </si>
  <si>
    <t xml:space="preserve">Advance = payment; 'agle hafte' must not change the date</t>
  </si>
  <si>
    <t xml:space="preserve">asked location type (UNKNOWN)</t>
  </si>
  <si>
    <t xml:space="preserve">Grouped as material movement 'UNKNOWN → Sohan'; asked location type</t>
  </si>
  <si>
    <t xml:space="preserve">employee_transaction(employee_name=Sohan, transaction_type=payment, amount=1000, note=agle hafte ki mazdoori, date=2026-10-05)</t>
  </si>
  <si>
    <t xml:space="preserve">EMP-A-10</t>
  </si>
  <si>
    <t xml:space="preserve">Ram ka aaj ka hisab 500 cash mein kar diya</t>
  </si>
  <si>
    <t xml:space="preserve">राम का आज का हिसाब 500 कैश में कर दिया</t>
  </si>
  <si>
    <t xml:space="preserve">Settled Ram's account for today with 500 cash</t>
  </si>
  <si>
    <t xml:space="preserve">employee_name=Ram; transaction_type=payment; amount=500; payment_method=cash; date=T</t>
  </si>
  <si>
    <t xml:space="preserve">'hisab kar diya' = paid</t>
  </si>
  <si>
    <t xml:space="preserve">family_transaction(transaction_type=kharcha, amount=500.0, member_name=Ram; 2026-10-04)</t>
  </si>
  <si>
    <t xml:space="preserve">Recorded as FAMILY kharcha for Ram</t>
  </si>
  <si>
    <t xml:space="preserve">employee_transaction(employee_name=Ram, transaction_type=payment, amount=500, payment_method=cash, note=aaj ka hisab, date=2026-10-05)</t>
  </si>
  <si>
    <t xml:space="preserve">EMP-B-01</t>
  </si>
  <si>
    <t xml:space="preserve">Sohan ke khaate mein 6k daal diye tankhwah ke</t>
  </si>
  <si>
    <t xml:space="preserve">सोहन के खाते में 6k डाल दिए तनख्वाह के</t>
  </si>
  <si>
    <t xml:space="preserve">Transferred 6k to Sohan's bank account as salary</t>
  </si>
  <si>
    <t xml:space="preserve">employee_name=Sohan; transaction_type=payment; amount=6000; payment_method=bank_transfer; date=T</t>
  </si>
  <si>
    <t xml:space="preserve">'6k', bank transfer, 'tankhwah'</t>
  </si>
  <si>
    <t xml:space="preserve">family_transaction(transaction_type=jama, amount=6000.0, member_name=Sohan; 2026-10-04)</t>
  </si>
  <si>
    <t xml:space="preserve">Recorded as FAMILY jama (cash IN) for Sohan — opposite direction</t>
  </si>
  <si>
    <t xml:space="preserve">employee_transaction(employee_name=Sohan, transaction_type=payment, amount=6000, note=tankhwah ke, date=2026-10-05)</t>
  </si>
  <si>
    <t xml:space="preserve">EMP-B-02</t>
  </si>
  <si>
    <t xml:space="preserve">Kitanu ko dedh hazaar diye parso</t>
  </si>
  <si>
    <t xml:space="preserve">कितनू को डेढ़ हज़ार दिए परसों</t>
  </si>
  <si>
    <t xml:space="preserve">Gave Kitanu one and a half thousand the day before yesterday</t>
  </si>
  <si>
    <t xml:space="preserve">employee_name=Kitanu; transaction_type=payment; amount=1500; date=T-2</t>
  </si>
  <si>
    <t xml:space="preserve">'dedh hazaar' = 1500, 'parso' = T-2</t>
  </si>
  <si>
    <t xml:space="preserve">employee_transaction(transaction_type=payment, amount=1500.0, employee_name=Kitanu; 2026-10-02)</t>
  </si>
  <si>
    <t xml:space="preserve">employee_transaction(employee_name=Kitanu, transaction_type=payment, amount=1500, date=2026-10-03)</t>
  </si>
  <si>
    <t xml:space="preserve">EMP-B-03</t>
  </si>
  <si>
    <t xml:space="preserve">ram ne aj 450 ka kam kia</t>
  </si>
  <si>
    <t xml:space="preserve">राम ने अज 450 का कम कीया</t>
  </si>
  <si>
    <t xml:space="preserve">ram did wrk worth 450 tody</t>
  </si>
  <si>
    <t xml:space="preserve">employee_name=Ram; transaction_type=work; amount=450; date=T</t>
  </si>
  <si>
    <t xml:space="preserve">Spelling mistakes in words</t>
  </si>
  <si>
    <t xml:space="preserve">employee_transaction(transaction_type=work, amount=450.0, employee_name=Ram; 2026-10-04)</t>
  </si>
  <si>
    <t xml:space="preserve">employee_transaction(employee_name=Ram, transaction_type=work, amount=450, date=2026-10-05)</t>
  </si>
  <si>
    <t xml:space="preserve">EMP-B-04</t>
  </si>
  <si>
    <t xml:space="preserve">Somvaar ko Sohan nahi aaya tha</t>
  </si>
  <si>
    <t xml:space="preserve">सोमवार को सोहन नहीं आया था</t>
  </si>
  <si>
    <t xml:space="preserve">Sohan didn't come on Monday</t>
  </si>
  <si>
    <t xml:space="preserve">employee_name=Sohan; attendance=absent; date=LAST_MONDAY</t>
  </si>
  <si>
    <t xml:space="preserve">Weekday name as date</t>
  </si>
  <si>
    <t xml:space="preserve">attendance(attendance=absent, driving=absent, employee_name=Sohan; 2026-10-03)</t>
  </si>
  <si>
    <t xml:space="preserve">Date 03-Oct (expected last Monday 28-Sep)</t>
  </si>
  <si>
    <t xml:space="preserve">attendance(employee_name=Sohan, attendance=absent, driving=absent, date=2026-09-28)</t>
  </si>
  <si>
    <t xml:space="preserve">EMP-B-05</t>
  </si>
  <si>
    <t xml:space="preserve">Kitanu ki aaj ki haaziri lagao, aadha din gaadi bhi chalayi</t>
  </si>
  <si>
    <t xml:space="preserve">कितनू की आज की हाज़िरी लगाओ, आधा दिन गाड़ी भी चलाई</t>
  </si>
  <si>
    <t xml:space="preserve">Mark Kitanu present today, he also drove for half the day</t>
  </si>
  <si>
    <t xml:space="preserve">employee_name=Kitanu; attendance=P; driving=half; date=T</t>
  </si>
  <si>
    <t xml:space="preserve">'haaziri' + two values in one line</t>
  </si>
  <si>
    <t xml:space="preserve">attendance(employee_name=Kitanu, attendance=P, driving=half, date=2026-10-05)</t>
  </si>
  <si>
    <t xml:space="preserve">EMP-B-06</t>
  </si>
  <si>
    <t xml:space="preserve">Ram shanivaar ko 2 ghante extra ruka, 200 ka kaam aur kiya</t>
  </si>
  <si>
    <t xml:space="preserve">राम शनिवार को 2 घंटे एक्स्ट्रा रुका, 200 का काम और किया</t>
  </si>
  <si>
    <t xml:space="preserve">Ram stayed 2 extra hours on Saturday, did 200 more worth of work</t>
  </si>
  <si>
    <t xml:space="preserve">employee_name=Ram; transaction_type=work; amount=200; date=LAST_SATURDAY</t>
  </si>
  <si>
    <t xml:space="preserve">'2 ghante' is not the amount; weekday date</t>
  </si>
  <si>
    <t xml:space="preserve">employee_transaction(transaction_type=work, amount=200.0, employee_name=Ram; 2026-10-01)</t>
  </si>
  <si>
    <t xml:space="preserve">Date 01-Oct (expected Saturday 03-Oct) + extra attendance row</t>
  </si>
  <si>
    <t xml:space="preserve">employee_transaction(employee_name=Ram, transaction_type=work, amount=200, date=2026-10-03)</t>
  </si>
  <si>
    <t xml:space="preserve">extra 1</t>
  </si>
  <si>
    <t xml:space="preserve">EMP-B-07</t>
  </si>
  <si>
    <t xml:space="preserve">₹750 Sohan ko, kal ki mazdoori ke</t>
  </si>
  <si>
    <t xml:space="preserve">₹750 सोहन को, कल की मज़दूरी के</t>
  </si>
  <si>
    <t xml:space="preserve">₹750 to Sohan, for yesterday's wages</t>
  </si>
  <si>
    <t xml:space="preserve">employee_name=Sohan; transaction_type=payment; amount=750; date=T</t>
  </si>
  <si>
    <t xml:space="preserve">Paid today; 'kal' is only the work day → date must be T</t>
  </si>
  <si>
    <t xml:space="preserve">employee_transaction(transaction_type=payment, amount=750.0, employee_name=Sohan; 2026-10-03)</t>
  </si>
  <si>
    <t xml:space="preserve">Date T-1 — 'kal ki mazdoori' is the work day, payment was today</t>
  </si>
  <si>
    <t xml:space="preserve">employee_transaction(employee_name=Sohan, transaction_type=payment, amount=750, note=mazdoori, date=2026-10-05)</t>
  </si>
  <si>
    <t xml:space="preserve">EMP-B-08</t>
  </si>
  <si>
    <t xml:space="preserve">Kitanu ne 2 hazaar maange the, abhi 1500 hi diye</t>
  </si>
  <si>
    <t xml:space="preserve">कितनू ने 2 हज़ार माँगे थे, अभी 1500 ही दिए</t>
  </si>
  <si>
    <t xml:space="preserve">Kitanu asked for 2 thousand, gave only 1500 for now</t>
  </si>
  <si>
    <t xml:space="preserve">employee_name=Kitanu; transaction_type=payment; amount=1500; date=T</t>
  </si>
  <si>
    <t xml:space="preserve">Two amounts — only 1500 was paid</t>
  </si>
  <si>
    <t xml:space="preserve">employee_transaction(transaction_type=payment, amount=1500.0, employee_name=Kitanu; 2026-10-04)</t>
  </si>
  <si>
    <t xml:space="preserve">employee_transaction(employee_name=Kitanu, transaction_type=payment, amount=1500, date=2026-10-05)</t>
  </si>
  <si>
    <t xml:space="preserve">EMP-B-09</t>
  </si>
  <si>
    <t xml:space="preserve">Ram ko paanch sau rupaye pakda diye</t>
  </si>
  <si>
    <t xml:space="preserve">राम को पाँच सौ रुपये पकड़ा दिए</t>
  </si>
  <si>
    <t xml:space="preserve">Handed Ram five hundred rupees</t>
  </si>
  <si>
    <t xml:space="preserve">employee_name=Ram; transaction_type=payment; amount=500; date=T</t>
  </si>
  <si>
    <t xml:space="preserve">Number in words; 'pakda diye' = gave</t>
  </si>
  <si>
    <t xml:space="preserve">employee_transaction(transaction_type=payment, amount=500.0, employee_name=Ram; 2026-10-04)</t>
  </si>
  <si>
    <t xml:space="preserve">employee_transaction(employee_name=Ram, transaction_type=payment, amount=500, date=2026-10-05)</t>
  </si>
  <si>
    <t xml:space="preserve">EMP-B-10</t>
  </si>
  <si>
    <t xml:space="preserve">Sohan ne kal raat ki shift mein 900 kamaye</t>
  </si>
  <si>
    <t xml:space="preserve">सोहन ने कल रात की शिफ्ट में 900 कमाए</t>
  </si>
  <si>
    <t xml:space="preserve">Sohan earned 900 in last night's shift</t>
  </si>
  <si>
    <t xml:space="preserve">employee_name=Sohan; transaction_type=work; amount=900; date=T-1</t>
  </si>
  <si>
    <t xml:space="preserve">'kamaye' = work, not payment</t>
  </si>
  <si>
    <t xml:space="preserve">employee_transaction(transaction_type=work, amount=900.0, employee_name=Sohan; 2026-10-03)</t>
  </si>
  <si>
    <t xml:space="preserve">employee_transaction(employee_name=Sohan, transaction_type=work, amount=900, note=raat ki shift mein, date=2026-10-04)</t>
  </si>
  <si>
    <t xml:space="preserve">EMP-C-01</t>
  </si>
  <si>
    <t xml:space="preserve">Kitanu aaj time pe aa gaya tha</t>
  </si>
  <si>
    <t xml:space="preserve">कितनू आज टाइम पे आ गया था</t>
  </si>
  <si>
    <t xml:space="preserve">Kitanu came on time today</t>
  </si>
  <si>
    <t xml:space="preserve">employee_name=Kitanu; date=T</t>
  </si>
  <si>
    <t xml:space="preserve">Arrival known, length of the day unknown</t>
  </si>
  <si>
    <t xml:space="preserve">General chat — neither asked nor recorded</t>
  </si>
  <si>
    <t xml:space="preserve">attendance(employee_name=Kitanu, attendance=P, driving=absent, note=time pe aa gaya tha, date=2026-10-05)</t>
  </si>
  <si>
    <t xml:space="preserve">record_attendance: recorded instead of asking (values guessed)</t>
  </si>
  <si>
    <t xml:space="preserve">EMP-C-02</t>
  </si>
  <si>
    <t xml:space="preserve">Sohan ko uske paise de diye aaj</t>
  </si>
  <si>
    <t xml:space="preserve">सोहन को उसके पैसे दे दिए आज</t>
  </si>
  <si>
    <t xml:space="preserve">Gave Sohan his money today</t>
  </si>
  <si>
    <t xml:space="preserve">employee_name=Sohan; transaction_type=payment; date=T</t>
  </si>
  <si>
    <t xml:space="preserve">Amount missing</t>
  </si>
  <si>
    <t xml:space="preserve">Asked a location-type question (wrong flow) — nothing recorded</t>
  </si>
  <si>
    <t xml:space="preserve">EMP-C-03</t>
  </si>
  <si>
    <t xml:space="preserve">Kitanu ke saath 500 ka hisab hua</t>
  </si>
  <si>
    <t xml:space="preserve">कितनू के साथ 500 का हिसाब हुआ</t>
  </si>
  <si>
    <t xml:space="preserve">Settled 500 with Kitanu</t>
  </si>
  <si>
    <t xml:space="preserve">employee_name=Kitanu; amount=500; date=T</t>
  </si>
  <si>
    <t xml:space="preserve">Direction unclear</t>
  </si>
  <si>
    <t xml:space="preserve">employee_transaction(transaction_type=payment, amount=500.0, employee_name=Kitanu; 2026-10-04)</t>
  </si>
  <si>
    <t xml:space="preserve">Assumed payment 500 instead of asking work/payment</t>
  </si>
  <si>
    <t xml:space="preserve">employee_transaction(employee_name=Kitanu, transaction_type=payment, amount=500, note=ke saath hisab hua, date=2026-10-05)</t>
  </si>
  <si>
    <t xml:space="preserve">record_employee_transaction: recorded instead of asking (values guessed)</t>
  </si>
  <si>
    <t xml:space="preserve">EMP-C-04</t>
  </si>
  <si>
    <t xml:space="preserve">Sohan ka kitna baaki hai abhi?</t>
  </si>
  <si>
    <t xml:space="preserve">सोहन का कितना बाकी है अभी?</t>
  </si>
  <si>
    <t xml:space="preserve">How much is due to Sohan right now?</t>
  </si>
  <si>
    <t xml:space="preserve">(nothing)</t>
  </si>
  <si>
    <t xml:space="preserve">A question (report), not an entry</t>
  </si>
  <si>
    <t xml:space="preserve">report flow</t>
  </si>
  <si>
    <t xml:space="preserve">asked report</t>
  </si>
  <si>
    <t xml:space="preserve">EMP-C-05</t>
  </si>
  <si>
    <t xml:space="preserve">Ram ko aaj paise nahi diye, kal denge</t>
  </si>
  <si>
    <t xml:space="preserve">राम को आज पैसे नहीं दिए, कल देंगे</t>
  </si>
  <si>
    <t xml:space="preserve">Didn't pay Ram today, will pay tomorrow</t>
  </si>
  <si>
    <t xml:space="preserve">Negation + future plan</t>
  </si>
  <si>
    <t xml:space="preserve">CRASH: IndexError</t>
  </si>
  <si>
    <t xml:space="preserve">Crash: IndexError in tool_argument_extraction (2 actions, 'kal denge')</t>
  </si>
  <si>
    <t xml:space="preserve">no entry (route=accounting)</t>
  </si>
  <si>
    <t xml:space="preserve">EMP-C-06</t>
  </si>
  <si>
    <t xml:space="preserve">Kitanu ko 400 diye, nahi nahi 450 diye the</t>
  </si>
  <si>
    <t xml:space="preserve">कितनू को 400 दिए, नहीं नहीं 450 दिए थे</t>
  </si>
  <si>
    <t xml:space="preserve">Gave Kitanu 400, no wait, it was 450</t>
  </si>
  <si>
    <t xml:space="preserve">employee_name=Kitanu; transaction_type=payment; amount=450; date=T</t>
  </si>
  <si>
    <t xml:space="preserve">Self-correction inside the sentence — only 450, only once</t>
  </si>
  <si>
    <t xml:space="preserve">employee_transaction(transaction_type=payment, amount=400.0, employee_name=Kitanu; 2026-10-04)</t>
  </si>
  <si>
    <t xml:space="preserve">Recorded BOTH 400 and 450</t>
  </si>
  <si>
    <t xml:space="preserve">employee_transaction(employee_name=Kitanu, transaction_type=payment, amount=450, date=2026-10-05)</t>
  </si>
  <si>
    <t xml:space="preserve">EMP-C-07</t>
  </si>
  <si>
    <t xml:space="preserve">Mukesh ko 600 diye</t>
  </si>
  <si>
    <t xml:space="preserve">मुकेश को 600 दिए</t>
  </si>
  <si>
    <t xml:space="preserve">Gave Mukesh 600</t>
  </si>
  <si>
    <t xml:space="preserve">employee_name=Mukesh; transaction_type=payment; amount=600; date=T</t>
  </si>
  <si>
    <t xml:space="preserve">Name not in DB</t>
  </si>
  <si>
    <t xml:space="preserve">employee_transaction(transaction_type=payment, amount=600.0, employee_name=Mukesh; 2026-10-04)</t>
  </si>
  <si>
    <t xml:space="preserve">employee_transaction(employee_name=Mukesh, transaction_type=payment, amount=600, date=2026-10-05)</t>
  </si>
  <si>
    <t xml:space="preserve">EMP-C-08</t>
  </si>
  <si>
    <t xml:space="preserve">Ram ko 5oo diye</t>
  </si>
  <si>
    <t xml:space="preserve">राम को 5oo दिए</t>
  </si>
  <si>
    <t xml:space="preserve">Gave Ram 5oo</t>
  </si>
  <si>
    <t xml:space="preserve">Letter 'o' inside the number; asking = Safe ask</t>
  </si>
  <si>
    <t xml:space="preserve">EMP-C-09</t>
  </si>
  <si>
    <t xml:space="preserve">Sohan aaj nahi aaya par 500 ka kaam kiya</t>
  </si>
  <si>
    <t xml:space="preserve">सोहन आज नहीं आया पर 500 का काम किया</t>
  </si>
  <si>
    <t xml:space="preserve">Sohan didn't come today but did 500 worth of work</t>
  </si>
  <si>
    <t xml:space="preserve">Contradiction — absent or worked?</t>
  </si>
  <si>
    <t xml:space="preserve">Contradictory facts</t>
  </si>
  <si>
    <t xml:space="preserve">attendance(attendance=absent, driving=absent, employee_name=Sohan; 2026-10-04)</t>
  </si>
  <si>
    <t xml:space="preserve">Recorded absent AND work 500 without asking about the contradiction</t>
  </si>
  <si>
    <t xml:space="preserve">attendance(employee_name=Sohan, attendance=absent, driving=absent, date=2026-10-05); employee_transaction(employee_name=Sohan, transaction_type=work, amount=500, date=2026-10-05)</t>
  </si>
  <si>
    <t xml:space="preserve">entry made instead of asking: record_attendance, record_employee_transaction</t>
  </si>
  <si>
    <t xml:space="preserve">EMP-C-10</t>
  </si>
  <si>
    <t xml:space="preserve">Kitanu ne pichle hafte wale 300 wapas kar diye</t>
  </si>
  <si>
    <t xml:space="preserve">कितनू ने पिछले हफ्ते वाले 300 वापस कर दिए</t>
  </si>
  <si>
    <t xml:space="preserve">Kitanu returned the 300 from last week</t>
  </si>
  <si>
    <t xml:space="preserve">Employee returned money — no payment entry</t>
  </si>
  <si>
    <t xml:space="preserve">Repayment by employee; a 'payment 300' entry would be the opposite of reality</t>
  </si>
  <si>
    <t xml:space="preserve">correction flow</t>
  </si>
  <si>
    <t xml:space="preserve">Opened correction flow (asked date) — repayment not supported; nothing recorded</t>
  </si>
  <si>
    <t xml:space="preserve">asked correction</t>
  </si>
  <si>
    <t xml:space="preserve">asked/stopped: correction: CorrectionDateHITLRequest</t>
  </si>
  <si>
    <t xml:space="preserve">EMP-D-01</t>
  </si>
  <si>
    <t xml:space="preserve">Sohan mistri ne aaj 2 kamron ki tile laga di, 1200 ka kaam hua</t>
  </si>
  <si>
    <t xml:space="preserve">सोहन मिस्त्री ने आज 2 कमरों की टाइल लगा दी, 1200 का काम हुआ</t>
  </si>
  <si>
    <t xml:space="preserve">Sohan the mason laid tiles in 2 rooms today, work worth 1200</t>
  </si>
  <si>
    <t xml:space="preserve">employee_name=Sohan; transaction_type=work; amount=1200; date=T</t>
  </si>
  <si>
    <t xml:space="preserve">Tiles business; '2 kamron' is not the amount</t>
  </si>
  <si>
    <t xml:space="preserve">employee_transaction(transaction_type=work, amount=1200.0, employee_name=Sohan mistri; 2026-10-04)</t>
  </si>
  <si>
    <t xml:space="preserve">Name taken with title ('Sohan mistri' / 'Sohan the mason') → new employee</t>
  </si>
  <si>
    <t xml:space="preserve">employee_transaction(employee_name=Sohan, transaction_type=work, amount=1200, note=2 kamron ki tile laga di, date=2026-10-05)</t>
  </si>
  <si>
    <t xml:space="preserve">EMP-D-02</t>
  </si>
  <si>
    <t xml:space="preserve">Dukaan wale ladke Ram ko is mahine ki salary 9000 de di</t>
  </si>
  <si>
    <t xml:space="preserve">दुकान वाले लड़के राम को इस महीने की सैलरी 9000 दे दी</t>
  </si>
  <si>
    <t xml:space="preserve">Paid the shop boy Ram this month's salary of 9000</t>
  </si>
  <si>
    <t xml:space="preserve">employee_name=Ram; transaction_type=payment; amount=9000; date=T</t>
  </si>
  <si>
    <t xml:space="preserve">Kirana shop wording</t>
  </si>
  <si>
    <t xml:space="preserve">Grouped as material movement; asked location type</t>
  </si>
  <si>
    <t xml:space="preserve">employee_transaction(employee_name=Ram, transaction_type=payment, amount=9000, note=is mahine ki salary, date=2026-10-05)</t>
  </si>
  <si>
    <t xml:space="preserve">EMP-D-03</t>
  </si>
  <si>
    <t xml:space="preserve">Kitanu karigar ne aaj 25 shirt silai ki, 20 rupaye piece ke hisab se</t>
  </si>
  <si>
    <t xml:space="preserve">कितनू कारीगर ने आज 25 शर्ट सिलाई की, 20 रुपये पीस के हिसाब से</t>
  </si>
  <si>
    <t xml:space="preserve">Kitanu the tailor stitched 25 shirts today at 20 rupees per piece</t>
  </si>
  <si>
    <t xml:space="preserve">employee_name=Kitanu; transaction_type=work; amount=500; date=T</t>
  </si>
  <si>
    <t xml:space="preserve">Piece rate — amount must be computed (25 × 20)</t>
  </si>
  <si>
    <t xml:space="preserve">employee_transaction(transaction_type=work, amount=500.0, employee_name=Kitanu; 2026-10-04)</t>
  </si>
  <si>
    <t xml:space="preserve">employee_transaction(employee_name=Kitanu, transaction_type=work, amount=500, note=25 shirt silai ki, 20 rupaye piece ke hisab se, date=2026-10-05)</t>
  </si>
  <si>
    <t xml:space="preserve">EMP-D-04</t>
  </si>
  <si>
    <t xml:space="preserve">Ram dumper wala aaj poore din trip pe raha</t>
  </si>
  <si>
    <t xml:space="preserve">राम डंपर वाला आज पूरे दिन ट्रिप पे रहा</t>
  </si>
  <si>
    <t xml:space="preserve">Ram the dumper driver was on trips all day today</t>
  </si>
  <si>
    <t xml:space="preserve">employee_name=Ram; attendance=P; driving=P; date=T</t>
  </si>
  <si>
    <t xml:space="preserve">Sand/gravel business: 'trip' = driving</t>
  </si>
  <si>
    <t xml:space="preserve">attendance(attendance=P, driving=absent, employee_name=Ram; 2026-10-04)</t>
  </si>
  <si>
    <t xml:space="preserve">Driving not marked (attendance P, driving absent)</t>
  </si>
  <si>
    <t xml:space="preserve">attendance(employee_name=Ram, attendance=P, driving=P, note=trip pe raha, date=2026-10-05)</t>
  </si>
  <si>
    <t xml:space="preserve">EMP-D-05</t>
  </si>
  <si>
    <t xml:space="preserve">Sohan cook ki aaj off thi</t>
  </si>
  <si>
    <t xml:space="preserve">सोहन कुक की आज ऑफ थी</t>
  </si>
  <si>
    <t xml:space="preserve">Sohan the cook had the day off today</t>
  </si>
  <si>
    <t xml:space="preserve">employee_name=Sohan; attendance=absent; date=T</t>
  </si>
  <si>
    <t xml:space="preserve">Dhaba wording: 'off thi' = absent</t>
  </si>
  <si>
    <t xml:space="preserve">attendance(employee_name=Sohan, attendance=absent, driving=absent, note=cook ki aaj off thi, date=2026-10-05)</t>
  </si>
  <si>
    <t xml:space="preserve">EMP-D-06</t>
  </si>
  <si>
    <t xml:space="preserve">Beldar Sohan ko hafte ka 3600 bhugtaan kar diya</t>
  </si>
  <si>
    <t xml:space="preserve">बेलदार सोहन को हफ्ते का 3600 भुगतान कर दिया</t>
  </si>
  <si>
    <t xml:space="preserve">Paid labourer Sohan 3600 for the week</t>
  </si>
  <si>
    <t xml:space="preserve">employee_name=Sohan; transaction_type=payment; amount=3600; date=T</t>
  </si>
  <si>
    <t xml:space="preserve">Construction: 'beldar', formal 'bhugtaan'</t>
  </si>
  <si>
    <t xml:space="preserve">expense_payment(amount=3600.0, description=hafte ka; 2026-10-04)</t>
  </si>
  <si>
    <t xml:space="preserve">Recorded as expense payment</t>
  </si>
  <si>
    <t xml:space="preserve">employee_transaction(employee_name=Sohan, transaction_type=payment, amount=3600, note=hafte ka bhugtaan, date=2026-10-05)</t>
  </si>
  <si>
    <t xml:space="preserve">EMP-D-07</t>
  </si>
  <si>
    <t xml:space="preserve">Ram ne aaj godown mein maal ki packing ki, 400 banta hai</t>
  </si>
  <si>
    <t xml:space="preserve">राम ने आज गोदाम में माल की पैकिंग की, 400 बनता है</t>
  </si>
  <si>
    <t xml:space="preserve">Ram packed goods in the godown today, 400 is due</t>
  </si>
  <si>
    <t xml:space="preserve">employee_name=Ram; transaction_type=work; amount=400; date=T</t>
  </si>
  <si>
    <t xml:space="preserve">Hardware: 'banta hai' = amount owed for work</t>
  </si>
  <si>
    <t xml:space="preserve">Asked amount though 400 was stated (correct tool)</t>
  </si>
  <si>
    <t xml:space="preserve">EXTRA entry: record_work_log  </t>
  </si>
  <si>
    <t xml:space="preserve">EMP-D-08</t>
  </si>
  <si>
    <t xml:space="preserve">Kitanu ko UPI se 2500 bhej diye overtime ke</t>
  </si>
  <si>
    <t xml:space="preserve">कितनू को UPI से 2500 भेज दिए ओवरटाइम के</t>
  </si>
  <si>
    <t xml:space="preserve">Sent Kitanu 2500 via UPI for overtime</t>
  </si>
  <si>
    <t xml:space="preserve">employee_name=Kitanu; transaction_type=payment; amount=2500; payment_method=upi; date=T</t>
  </si>
  <si>
    <t xml:space="preserve">Mobile shop: UPI + overtime</t>
  </si>
  <si>
    <t xml:space="preserve">employee_transaction(transaction_type=payment, amount=2500.0, payment_method=UPI, employee_name=Kitanu; 2026-10-04)</t>
  </si>
  <si>
    <t xml:space="preserve">employee_transaction(employee_name=Kitanu, transaction_type=payment, amount=2500, payment_method=UPI, note=overtime ke, date=2026-10-05)</t>
  </si>
  <si>
    <t xml:space="preserve">EMP-D-09</t>
  </si>
  <si>
    <t xml:space="preserve">Sohan kaarigar ne 2 almari banayi, 3000 ka kaam</t>
  </si>
  <si>
    <t xml:space="preserve">सोहन कारीगर ने 2 अलमारी बनाई, 3000 का काम</t>
  </si>
  <si>
    <t xml:space="preserve">Sohan the carpenter built 2 cupboards, work worth 3000</t>
  </si>
  <si>
    <t xml:space="preserve">employee_name=Sohan; transaction_type=work; amount=3000; date=T</t>
  </si>
  <si>
    <t xml:space="preserve">Furniture: '2 almari' is not the amount</t>
  </si>
  <si>
    <t xml:space="preserve">employee_transaction(transaction_type=work, amount=3000.0, employee_name=Sohan kaarigar; 2026-10-04)</t>
  </si>
  <si>
    <t xml:space="preserve">Name taken with title ('Sohan kaarigar') → new employee</t>
  </si>
  <si>
    <t xml:space="preserve">employee_transaction(employee_name=Sohan, transaction_type=work, amount=3000, note=2 almari banayi, date=2026-10-05)</t>
  </si>
  <si>
    <t xml:space="preserve">EMP-D-10</t>
  </si>
  <si>
    <t xml:space="preserve">Ram aaj sirf subah ki shift karke gaya</t>
  </si>
  <si>
    <t xml:space="preserve">राम आज सिर्फ सुबह की शिफ्ट करके गया</t>
  </si>
  <si>
    <t xml:space="preserve">Ram did only the morning shift today and left</t>
  </si>
  <si>
    <t xml:space="preserve">employee_name=Ram; attendance=half; date=T</t>
  </si>
  <si>
    <t xml:space="preserve">Shop shifts: one shift = half day</t>
  </si>
  <si>
    <t xml:space="preserve">Marked full day (expected half)</t>
  </si>
  <si>
    <t xml:space="preserve">attendance(employee_name=Ram, attendance=half, driving=absent, note=sirf subah ki shift karke gaya, date=2026-10-05)</t>
  </si>
  <si>
    <t xml:space="preserve">EMP-E-01</t>
  </si>
  <si>
    <t xml:space="preserve">Sohan ne 600 ka kaam kiya aur Sharma ji ne 4000 jama karaye</t>
  </si>
  <si>
    <t xml:space="preserve">सोहन ने 600 का काम किया और शर्मा जी ने 4000 जमा कराए</t>
  </si>
  <si>
    <t xml:space="preserve">Sohan did work worth 600 and Sharma ji deposited 4000</t>
  </si>
  <si>
    <t xml:space="preserve">employee_name=Sohan; transaction_type=work; amount=600; date=T</t>
  </si>
  <si>
    <t xml:space="preserve">Employee + customer payment</t>
  </si>
  <si>
    <t xml:space="preserve">employee_transaction(transaction_type=work, amount=600.0, employee_name=Sohan; 2026-10-04)</t>
  </si>
  <si>
    <t xml:space="preserve">employee_transaction(employee_name=Sohan, transaction_type=work, amount=600, date=2026-10-05)</t>
  </si>
  <si>
    <t xml:space="preserve">record_sale_payment</t>
  </si>
  <si>
    <t xml:space="preserve">customer_name=Sharma ji; amount=4000; date=T</t>
  </si>
  <si>
    <t xml:space="preserve">sale_payment(amount=4000.0, customer_name=Sharma ji; 2026-10-04)</t>
  </si>
  <si>
    <t xml:space="preserve">sale_payment(customer_name=Sharma ji, amount=4000, date=2026-10-05)</t>
  </si>
  <si>
    <t xml:space="preserve">EMP-E-02</t>
  </si>
  <si>
    <t xml:space="preserve">SBI bhatte se 3000 eent gudam mein aayi, Kitanu gaadi lekar gaya tha, use 300 diye</t>
  </si>
  <si>
    <t xml:space="preserve">एसबीआई भट्टे से 3000 ईंट गोदाम में आई, कितनू गाड़ी लेकर गया था, उसे 300 दिए</t>
  </si>
  <si>
    <t xml:space="preserve">3000 bricks came from SBI Bhatta to the warehouse, Kitanu drove, paid him 300</t>
  </si>
  <si>
    <t xml:space="preserve">record_supplier_transaction</t>
  </si>
  <si>
    <t xml:space="preserve">supplier_name=SBI Bhatta; item_name=eent; quantity=3000; driver_name=Kitanu; date=T</t>
  </si>
  <si>
    <t xml:space="preserve">Same name as driver and as payee</t>
  </si>
  <si>
    <t xml:space="preserve">supplier_transaction(supplier_name=SBI bhata, item_name=eent, quantity=3000.0; 2026-10-04)</t>
  </si>
  <si>
    <t xml:space="preserve">Supplier saved as new 'SBI bhata' (not SBI Bhatta); driver not saved</t>
  </si>
  <si>
    <t xml:space="preserve">supplier_transaction(supplier_name=SBI Bhatta, item_name=eent, quantity=3000, driver_name=Kitanu, date=2026-10-05)</t>
  </si>
  <si>
    <t xml:space="preserve">employee_transaction(employee_name=Kitanu, transaction_type=payment, amount=300, date=2026-10-05)</t>
  </si>
  <si>
    <t xml:space="preserve">EMP-E-03</t>
  </si>
  <si>
    <t xml:space="preserve">Ram aaj nahi aaya, aur Papa ne ghar ke liye 2000 nikale</t>
  </si>
  <si>
    <t xml:space="preserve">राम आज नहीं आया, और पापा ने घर के लिए 2000 निकाले</t>
  </si>
  <si>
    <t xml:space="preserve">Ram didn't come today, and Papa took 2000 for the house</t>
  </si>
  <si>
    <t xml:space="preserve">Employee attendance + family kharcha</t>
  </si>
  <si>
    <t xml:space="preserve">attendance(attendance=absent, driving=absent, employee_name=Ram; 2026-10-04)</t>
  </si>
  <si>
    <t xml:space="preserve">attendance(employee_name=Ram, attendance=absent, driving=absent, date=2026-10-05)</t>
  </si>
  <si>
    <t xml:space="preserve">Family Member</t>
  </si>
  <si>
    <t xml:space="preserve">record_family_transaction</t>
  </si>
  <si>
    <t xml:space="preserve">member_name=Papa; transaction_type=kharcha; amount=2000; date=T</t>
  </si>
  <si>
    <t xml:space="preserve">family_transaction(transaction_type=kharcha, amount=2000.0, member_name=Papa; 2026-10-04)</t>
  </si>
  <si>
    <t xml:space="preserve">family_transaction(member_name=Papa, transaction_type=kharcha, amount=2000, date=2026-10-05)</t>
  </si>
  <si>
    <t xml:space="preserve">EMP-E-04</t>
  </si>
  <si>
    <t xml:space="preserve">Diesel mein 1500 lage aur Kitanu ko aaj ki mazdoori 500 di</t>
  </si>
  <si>
    <t xml:space="preserve">डीज़ल में 1500 लगे और कितनू को आज की मज़दूरी 500 दी</t>
  </si>
  <si>
    <t xml:space="preserve">1500 went on diesel and paid Kitanu 500 for today's wages</t>
  </si>
  <si>
    <t xml:space="preserve">record_expense</t>
  </si>
  <si>
    <t xml:space="preserve">amount=1500; category=transport; date=T</t>
  </si>
  <si>
    <t xml:space="preserve">Expense (no payment words) + employee payment</t>
  </si>
  <si>
    <t xml:space="preserve">expense(amount=1500.0, category=fuel, description=diesel; 2026-10-04)</t>
  </si>
  <si>
    <t xml:space="preserve">expense(amount=1500, category=fuel, date=2026-10-05)</t>
  </si>
  <si>
    <t xml:space="preserve">employee_name=Kitanu; transaction_type=payment; amount=500; date=T</t>
  </si>
  <si>
    <t xml:space="preserve">employee_transaction(employee_name=Kitanu, transaction_type=payment, amount=500, note=aaj ki mazdoori, date=2026-10-05)</t>
  </si>
  <si>
    <t xml:space="preserve">EMP-E-05</t>
  </si>
  <si>
    <t xml:space="preserve">Suresh Traders ko 2000 eent 16000 mein bheji, Ram ne load karwayi, uska 400 ka kaam</t>
  </si>
  <si>
    <t xml:space="preserve">सुरेश ट्रेडर्स को 2000 ईंट 16000 में भेजी, राम ने लोड करवाई, उसका 400 का काम</t>
  </si>
  <si>
    <t xml:space="preserve">Sent 2000 bricks to Suresh Traders for 16000, Ram did the loading, his work is 400</t>
  </si>
  <si>
    <t xml:space="preserve">record_sale_transaction</t>
  </si>
  <si>
    <t xml:space="preserve">customer_name=Suresh Traders; item_name=eent; quantity=2000; amount=16000; date=T</t>
  </si>
  <si>
    <t xml:space="preserve">Sale + employee work</t>
  </si>
  <si>
    <t xml:space="preserve">Sale grouped as movement with source 'UNKNOWN'; location question blocked all</t>
  </si>
  <si>
    <t xml:space="preserve">sale_transaction(customer_name=Suresh Traders, item_name=eent, quantity=2000, amount=16000, date=2026-10-05)</t>
  </si>
  <si>
    <t xml:space="preserve">employee_transaction(employee_name=Ram, transaction_type=work, amount=400, note=load karwayi, date=2026-10-05)</t>
  </si>
  <si>
    <t xml:space="preserve">EMP-E-06</t>
  </si>
  <si>
    <t xml:space="preserve">Sohan aur Kitanu dono aaj poora din aaye, Sharma ji se 5000 aaye</t>
  </si>
  <si>
    <t xml:space="preserve">सोहन और कितनू दोनों आज पूरा दिन आए, शर्मा जी से 5000 आए</t>
  </si>
  <si>
    <t xml:space="preserve">Sohan and Kitanu both came full day today, received 5000 from Sharma ji</t>
  </si>
  <si>
    <t xml:space="preserve">employee_name=Sohan; attendance=P; date=T</t>
  </si>
  <si>
    <t xml:space="preserve">Two employees + customer payment</t>
  </si>
  <si>
    <t xml:space="preserve">Blocked by location-type question 'UNKNOWN'</t>
  </si>
  <si>
    <t xml:space="preserve">attendance(employee_name=Sohan, attendance=P, driving=absent, date=2026-10-05)</t>
  </si>
  <si>
    <t xml:space="preserve">attendance(employee_name=Kitanu, attendance=P, driving=absent, date=2026-10-05)</t>
  </si>
  <si>
    <t xml:space="preserve">customer_name=Sharma ji; amount=5000; date=T</t>
  </si>
  <si>
    <t xml:space="preserve">sale_payment(customer_name=Sharma ji, amount=5000, date=2026-10-05)</t>
  </si>
  <si>
    <t xml:space="preserve">extra 2</t>
  </si>
  <si>
    <t xml:space="preserve">EMP-E-07</t>
  </si>
  <si>
    <t xml:space="preserve">SBI bhatte ko 10000 diye, Ram ko 1000 advance diya aur bijli ka bill 1200 bhara</t>
  </si>
  <si>
    <t xml:space="preserve">एसबीआई भट्टे को 10000 दिए, राम को 1000 एडवांस दिया और बिजली का बिल 1200 भरा</t>
  </si>
  <si>
    <t xml:space="preserve">Paid SBI Bhatta 10000, gave Ram 1000 advance and paid the electricity bill of 1200</t>
  </si>
  <si>
    <t xml:space="preserve">record_supplier_payment</t>
  </si>
  <si>
    <t xml:space="preserve">supplier_name=SBI Bhatta; amount=10000; date=T</t>
  </si>
  <si>
    <t xml:space="preserve">Supplier payment + employee advance + expense with payment (4 entries)</t>
  </si>
  <si>
    <t xml:space="preserve">(nothing recorded)</t>
  </si>
  <si>
    <t xml:space="preserve">Supplier payment recorded as expense payment</t>
  </si>
  <si>
    <t xml:space="preserve">supplier_payment(supplier_name=SBI Bhatta, amount=10000, date=2026-10-05)</t>
  </si>
  <si>
    <t xml:space="preserve">employee_name=Ram; transaction_type=payment; amount=1000; date=T</t>
  </si>
  <si>
    <t xml:space="preserve">employee_transaction(transaction_type=payment, amount=1000.0, employee_name=Ram; 2026-10-04)</t>
  </si>
  <si>
    <t xml:space="preserve">employee_transaction(employee_name=Ram, transaction_type=payment, amount=1000, note=advance, date=2026-10-05)</t>
  </si>
  <si>
    <t xml:space="preserve">amount=1200; category=utility; date=T</t>
  </si>
  <si>
    <t xml:space="preserve">expense(amount=1200.0, category=misc, description=bijli bill; 2026-10-04)</t>
  </si>
  <si>
    <t xml:space="preserve">expense(amount=1200, category=misc, date=2026-10-05)</t>
  </si>
  <si>
    <t xml:space="preserve">record_expense_payment</t>
  </si>
  <si>
    <t xml:space="preserve">amount=1200; date=T</t>
  </si>
  <si>
    <t xml:space="preserve">expense_payment(amount=10000.0, description=SBI bhatte ko 10000 diye; 2026-10-04)</t>
  </si>
  <si>
    <t xml:space="preserve">expense_payment(amount=1200, date=2026-10-05)</t>
  </si>
  <si>
    <t xml:space="preserve">EMP-E-08</t>
  </si>
  <si>
    <t xml:space="preserve">Purane bazaar wali site pe aaj chhat todi, Sohan ne wahan 700 ka kaam kiya</t>
  </si>
  <si>
    <t xml:space="preserve">पुराने बाज़ार वाली साइट पे आज छत तोड़ी, सोहन ने वहाँ 700 का काम किया</t>
  </si>
  <si>
    <t xml:space="preserve">Broke a roof at the old market site today, Sohan did 700 worth of work there</t>
  </si>
  <si>
    <t xml:space="preserve">record_work_log</t>
  </si>
  <si>
    <t xml:space="preserve">location_type=site; description=chhat todi; date=T</t>
  </si>
  <si>
    <t xml:space="preserve">Business work log + employee work at the same site</t>
  </si>
  <si>
    <t xml:space="preserve">work_log(location_type=site, description=chhat todi; 2026-10-04)</t>
  </si>
  <si>
    <t xml:space="preserve">work_log()</t>
  </si>
  <si>
    <t xml:space="preserve">employee_name=Sohan; transaction_type=work; amount=700; date=T</t>
  </si>
  <si>
    <t xml:space="preserve">employee_transaction(transaction_type=work, amount=700.0, employee_name=Sohan; 2026-10-04)</t>
  </si>
  <si>
    <t xml:space="preserve">employee_transaction(employee_name=Sohan, transaction_type=work, amount=700, note=wahan kaam kiya, date=2026-10-05)</t>
  </si>
  <si>
    <t xml:space="preserve">EMP-E-09</t>
  </si>
  <si>
    <t xml:space="preserve">Kitanu gudam se 50 khidkiyan shop pe le gaya, aaj uski haaziri poori</t>
  </si>
  <si>
    <t xml:space="preserve">कितनू गोदाम से 50 खिड़कियाँ दुकान पे ले गया, आज उसकी हाज़िरी पूरी</t>
  </si>
  <si>
    <t xml:space="preserve">Kitanu took 50 windows from the warehouse to the shop, full attendance for him today</t>
  </si>
  <si>
    <t xml:space="preserve">record_material_movement</t>
  </si>
  <si>
    <t xml:space="preserve">item_name=khidki; quantity=50; source_name=gudam; destination_name=shop; date=T</t>
  </si>
  <si>
    <t xml:space="preserve">Material movement + attendance of the driver</t>
  </si>
  <si>
    <t xml:space="preserve">CRASH: AttributeError</t>
  </si>
  <si>
    <t xml:space="preserve">Crash: AttributeError in tool_argument_extraction (material movement source_type)</t>
  </si>
  <si>
    <t xml:space="preserve">material_movement(item_name=khidkiyan, quantity=50, date=2026-10-05)</t>
  </si>
  <si>
    <t xml:space="preserve">EMP-E-10</t>
  </si>
  <si>
    <t xml:space="preserve">Kal Ram ne 500 ka kaam kiya tha, aaj Suresh Traders ko 1000 eent 9000 mein di aur 4000 haath ke haath le liye</t>
  </si>
  <si>
    <t xml:space="preserve">कल राम ने 500 का काम किया था, आज सुरेश ट्रेडर्स को 1000 ईंट 9000 में दी और 4000 हाथ के हाथ ले लिए</t>
  </si>
  <si>
    <t xml:space="preserve">Yesterday Ram did 500 worth of work; today sold 1000 bricks to Suresh Traders for 9000 and took 4000 on the spot</t>
  </si>
  <si>
    <t xml:space="preserve">employee_name=Ram; transaction_type=work; amount=500; date=T-1</t>
  </si>
  <si>
    <t xml:space="preserve">Two dates in one message; 'le liye' here = money received from customer</t>
  </si>
  <si>
    <t xml:space="preserve">employee_transaction(employee_name=Ram, transaction_type=work, amount=500, date=2026-10-04)</t>
  </si>
  <si>
    <t xml:space="preserve">customer_name=Suresh Traders; item_name=eent; quantity=1000; amount=9000; date=T</t>
  </si>
  <si>
    <t xml:space="preserve">sale_transaction(customer_name=Suresh Traders, item_name=eent, quantity=1000, amount=9000, note=4000 haath ke haath le liye, date=2026-10-05)</t>
  </si>
  <si>
    <t xml:space="preserve">customer_name=Suresh Traders; amount=4000; date=T</t>
  </si>
  <si>
    <t xml:space="preserve">sale_payment(customer_name=Suresh Traders, amount=4000, date=2026-10-05)</t>
  </si>
  <si>
    <t xml:space="preserve">Customer bundle — test cases and results (before vs after fixes)</t>
  </si>
  <si>
    <t xml:space="preserve">Yellow = written and locked before the first run · Green = from the runs. Before = v1 code (2026-10-05 17:57, Hinglish) · After = the last FULL run of the bundle after the fixes (Hinglish; every test in one run; run id in the After - Run column).</t>
  </si>
  <si>
    <t xml:space="preserve">After = full 50-test run 2026-10-05 22:14, Hinglish.</t>
  </si>
  <si>
    <t xml:space="preserve">CUS-A-01</t>
  </si>
  <si>
    <t xml:space="preserve">Sharma ji ko 500 eent 4000 mein bechi</t>
  </si>
  <si>
    <t xml:space="preserve">शर्मा जी को 500 ईंट 4000 में बेची</t>
  </si>
  <si>
    <t xml:space="preserve">Sold 500 bricks to Sharma ji for 4000</t>
  </si>
  <si>
    <t xml:space="preserve">customer_name=Sharma ji; item_name=eent; quantity=500; amount=4000; date=T</t>
  </si>
  <si>
    <t xml:space="preserve">Most common daily sale</t>
  </si>
  <si>
    <t xml:space="preserve">sale_transaction(customer_name=Sharma ji, item_name=eent, quantity=500, amount=4000, date=2026-10-05)</t>
  </si>
  <si>
    <t xml:space="preserve">2214</t>
  </si>
  <si>
    <t xml:space="preserve">CUS-A-02</t>
  </si>
  <si>
    <t xml:space="preserve">Suresh Traders se aaj 3000 aaye</t>
  </si>
  <si>
    <t xml:space="preserve">सुरेश ट्रेडर्स से आज 3000 आए</t>
  </si>
  <si>
    <t xml:space="preserve">Received 3000 from Suresh Traders today</t>
  </si>
  <si>
    <t xml:space="preserve">customer_name=Suresh Traders; amount=3000; date=T</t>
  </si>
  <si>
    <t xml:space="preserve">Most common daily payment received</t>
  </si>
  <si>
    <t xml:space="preserve">sale_payment(customer_name=Suresh Traders, amount=3000, date=2026-10-05)</t>
  </si>
  <si>
    <t xml:space="preserve">CUS-A-03</t>
  </si>
  <si>
    <t xml:space="preserve">Sharma ji ko 2 darwaze 1800 mein diye, paise baad mein denge</t>
  </si>
  <si>
    <t xml:space="preserve">शर्मा जी को 2 दरवाज़े 1800 में दिए, पैसे बाद में देंगे</t>
  </si>
  <si>
    <t xml:space="preserve">Gave Sharma ji 2 doors for 1800, he will pay later</t>
  </si>
  <si>
    <t xml:space="preserve">customer_name=Sharma ji; item_name=darwaza; quantity=2; amount=1800; date=T</t>
  </si>
  <si>
    <t xml:space="preserve">Credit sale — 'will pay later' must NOT create a payment</t>
  </si>
  <si>
    <t xml:space="preserve">sale_transaction(customer_name=Sharma ji, item_name=darwaze, quantity=2, amount=1800, date=2026-10-05)</t>
  </si>
  <si>
    <t xml:space="preserve">sale_transaction(customer_name=Sharma ji, item_name=darwaze, quantity=2, amount=1800, note=paise baad mein denge, date=2026-10-05)</t>
  </si>
  <si>
    <t xml:space="preserve">CUS-A-04</t>
  </si>
  <si>
    <t xml:space="preserve">Suresh Traders ko gudam se 1000 eent bheji, 8 rupaye eent ke hisab se</t>
  </si>
  <si>
    <t xml:space="preserve">सुरेश ट्रेडर्स को गोदाम से 1000 ईंट भेजी, 8 रुपये ईंट के हिसाब से</t>
  </si>
  <si>
    <t xml:space="preserve">Sent 1000 bricks from the warehouse to Suresh Traders at 8 rupees per brick</t>
  </si>
  <si>
    <t xml:space="preserve">customer_name=Suresh Traders; item_name=eent; quantity=1000; rate=8; amount=8000; source=gudam; date=T</t>
  </si>
  <si>
    <t xml:space="preserve">Rate × quantity; source location</t>
  </si>
  <si>
    <t xml:space="preserve">sale_transaction(customer_name=Suresh Traders, item_name=eent, quantity=1000, rate=8, source=Gudam, date=2026-10-05)</t>
  </si>
  <si>
    <t xml:space="preserve">record_sale_transaction: amount 0.0≠8000</t>
  </si>
  <si>
    <t xml:space="preserve">sale_transaction(customer_name=Suresh Traders, item_name=eent, quantity=1000, rate=8, amount=8000, source=Gudam, date=2026-10-05)</t>
  </si>
  <si>
    <t xml:space="preserve">CUS-A-05</t>
  </si>
  <si>
    <t xml:space="preserve">Sharma ji ne pichla 2000 de diya</t>
  </si>
  <si>
    <t xml:space="preserve">शर्मा जी ने पिछला 2000 दे दिया</t>
  </si>
  <si>
    <t xml:space="preserve">Sharma ji paid the previous 2000</t>
  </si>
  <si>
    <t xml:space="preserve">customer_name=Sharma ji; amount=2000; date=T</t>
  </si>
  <si>
    <t xml:space="preserve">Money received TODAY for old dues — payment, not an opening balance</t>
  </si>
  <si>
    <t xml:space="preserve">sale_payment(customer_name=Sharma ji, amount=2000, note=pichla, date=2026-10-05)</t>
  </si>
  <si>
    <t xml:space="preserve">CUS-A-06</t>
  </si>
  <si>
    <t xml:space="preserve">Kal Sharma ji ko 4 khidkiyan 2400 mein bechi aur poore paise mil gaye</t>
  </si>
  <si>
    <t xml:space="preserve">कल शर्मा जी को 4 खिड़कियाँ 2400 में बेचीं और पूरे पैसे मिल गए</t>
  </si>
  <si>
    <t xml:space="preserve">Yesterday sold 4 windows to Sharma ji for 2400 and got the full payment</t>
  </si>
  <si>
    <t xml:space="preserve">customer_name=Sharma ji; item_name=khidki; quantity=4; amount=2400; date=T-1</t>
  </si>
  <si>
    <t xml:space="preserve">Sale + full payment, both yesterday</t>
  </si>
  <si>
    <t xml:space="preserve">sale_transaction(customer_name=Sharma ji, item_name=khidkiyan, quantity=4, amount=2400, date=2026-10-04)</t>
  </si>
  <si>
    <t xml:space="preserve">customer_name=Sharma ji; amount=2400; date=T-1</t>
  </si>
  <si>
    <t xml:space="preserve">asked location (source) → Pata nahi</t>
  </si>
  <si>
    <t xml:space="preserve">sale_payment(customer_name=Sharma ji, amount=2400, note=Poore paise mil gaye, date=2026-10-04)</t>
  </si>
  <si>
    <t xml:space="preserve">CUS-A-07</t>
  </si>
  <si>
    <t xml:space="preserve">Suresh Traders ko 3 chaukhat 1500 ki di, 1000 nakad mile</t>
  </si>
  <si>
    <t xml:space="preserve">सुरेश ट्रेडर्स को 3 चौखट 1500 की दी, 1000 नकद मिले</t>
  </si>
  <si>
    <t xml:space="preserve">Gave Suresh Traders 3 door frames worth 1500, received 1000 in cash</t>
  </si>
  <si>
    <t xml:space="preserve">customer_name=Suresh Traders; item_name=chaukhat; quantity=3; amount=1500; date=T</t>
  </si>
  <si>
    <t xml:space="preserve">Sale + partial cash payment</t>
  </si>
  <si>
    <t xml:space="preserve">sale_transaction(customer_name=Suresh Traders, item_name=chaukhat, quantity=3, unit=piece, amount=1500, date=2026-10-05)</t>
  </si>
  <si>
    <t xml:space="preserve">customer_name=Suresh Traders; amount=1000; date=T</t>
  </si>
  <si>
    <t xml:space="preserve">sale_payment(customer_name=Suresh Traders, amount=1000, date=2026-10-05)</t>
  </si>
  <si>
    <t xml:space="preserve">sale_payment(customer_name=Suresh Traders, amount=1000, note=3 chaukhat 1500 ki di, date=2026-10-05)</t>
  </si>
  <si>
    <t xml:space="preserve">CUS-A-08</t>
  </si>
  <si>
    <t xml:space="preserve">Sharma ji ne PhonePe pe 1200 bheje</t>
  </si>
  <si>
    <t xml:space="preserve">शर्मा जी ने फोनपे पे 1200 भेजे</t>
  </si>
  <si>
    <t xml:space="preserve">Sharma ji sent 1200 on PhonePe</t>
  </si>
  <si>
    <t xml:space="preserve">customer_name=Sharma ji; amount=1200; date=T</t>
  </si>
  <si>
    <t xml:space="preserve">UPI payment received</t>
  </si>
  <si>
    <t xml:space="preserve">sale_payment(customer_name=Sharma ji, amount=1200, date=2026-10-05)</t>
  </si>
  <si>
    <t xml:space="preserve">CUS-A-09</t>
  </si>
  <si>
    <t xml:space="preserve">Dukaan se Suresh Traders ko lakdi ke 20 fatte 3000 mein gaye</t>
  </si>
  <si>
    <t xml:space="preserve">दुकान से सुरेश ट्रेडर्स को लकड़ी के 20 फट्टे 3000 में गए</t>
  </si>
  <si>
    <t xml:space="preserve">20 wooden planks went from the shop to Suresh Traders for 3000</t>
  </si>
  <si>
    <t xml:space="preserve">customer_name=Suresh Traders; item_name=lakdi; quantity=20; amount=3000; source=shop; date=T</t>
  </si>
  <si>
    <t xml:space="preserve">Timber sale from the shop</t>
  </si>
  <si>
    <t xml:space="preserve">sale_transaction(customer_name=Suresh Traders, item_name=lakdi, quantity=20, unit=piece, amount=3000, source=Dukaan, date=2026-10-05)</t>
  </si>
  <si>
    <t xml:space="preserve">CUS-A-10</t>
  </si>
  <si>
    <t xml:space="preserve">Bablu naya customer hai, usne 200 eent 1600 mein li</t>
  </si>
  <si>
    <t xml:space="preserve">बबलू नया ग्राहक है, उसने 200 ईंट 1600 में ली</t>
  </si>
  <si>
    <t xml:space="preserve">Bablu is a new customer, he took 200 bricks for 1600</t>
  </si>
  <si>
    <t xml:space="preserve">customer_name=Bablu; item_name=eent; quantity=200; amount=1600; date=T</t>
  </si>
  <si>
    <t xml:space="preserve">New customer (not in DB) — role question, then sale</t>
  </si>
  <si>
    <t xml:space="preserve">asked location (source) → Pata nahi; asked location (customer) → stopped</t>
  </si>
  <si>
    <t xml:space="preserve">record_sale_transaction: asked material_movement:LOCATION_TYPE_CONFIRMATION </t>
  </si>
  <si>
    <t xml:space="preserve">sale_transaction(customer_name=Bablu, item_name=eent, quantity=200, amount=1600, date=2026-10-05)</t>
  </si>
  <si>
    <t xml:space="preserve">CUS-B-01</t>
  </si>
  <si>
    <t xml:space="preserve">sharma ji ne 5k de diye</t>
  </si>
  <si>
    <t xml:space="preserve">शर्मा जी ने 5 हज़ार दे दिए</t>
  </si>
  <si>
    <t xml:space="preserve">sharma ji gave 5k</t>
  </si>
  <si>
    <t xml:space="preserve">'5k' shorthand, lowercase</t>
  </si>
  <si>
    <t xml:space="preserve">CUS-B-02</t>
  </si>
  <si>
    <t xml:space="preserve">Suresh Traders wale dedh hazaar eent le gaye 12000 ki</t>
  </si>
  <si>
    <t xml:space="preserve">सुरेश ट्रेडर्स वाले डेढ़ हज़ार ईंट ले गए 12000 की</t>
  </si>
  <si>
    <t xml:space="preserve">Suresh Traders' guys took one and a half thousand bricks worth 12000</t>
  </si>
  <si>
    <t xml:space="preserve">customer_name=Suresh Traders; item_name=eent; quantity=1500; amount=12000; date=T</t>
  </si>
  <si>
    <t xml:space="preserve">'dedh hazaar' = 1500; 'le gaye' = customer bought</t>
  </si>
  <si>
    <t xml:space="preserve">asked location (destination) → Pata nahi</t>
  </si>
  <si>
    <t xml:space="preserve">sale_transaction(customer_name=Suresh Traders, item_name=eent, quantity=1500, amount=12000, date=2026-10-05)</t>
  </si>
  <si>
    <t xml:space="preserve">CUS-B-03</t>
  </si>
  <si>
    <t xml:space="preserve">Somvaar ko Sharma ji ko 300 eent di thi 2400 mein</t>
  </si>
  <si>
    <t xml:space="preserve">सोमवार को शर्मा जी को 300 ईंट दी थी 2400 में</t>
  </si>
  <si>
    <t xml:space="preserve">On Monday gave Sharma ji 300 bricks for 2400</t>
  </si>
  <si>
    <t xml:space="preserve">customer_name=Sharma ji; item_name=eent; quantity=300; amount=2400; date=LAST_MONDAY</t>
  </si>
  <si>
    <t xml:space="preserve">Weekday name → date</t>
  </si>
  <si>
    <t xml:space="preserve">sale_transaction(customer_name=Sharma ji, item_name=eent, quantity=300, unit=piece, rate=8, amount=2400, date=2026-09-28)</t>
  </si>
  <si>
    <t xml:space="preserve">sale_transaction(customer_name=Sharma ji, item_name=eent, quantity=300, amount=2400, date=2026-09-28)</t>
  </si>
  <si>
    <t xml:space="preserve">CUS-B-04</t>
  </si>
  <si>
    <t xml:space="preserve">Suresh ko 6 khidki 700 ki ek ke hisab se di</t>
  </si>
  <si>
    <t xml:space="preserve">सुरेश को 6 खिड़की 700 की एक के हिसाब से दी</t>
  </si>
  <si>
    <t xml:space="preserve">Gave Suresh 6 windows at 700 each</t>
  </si>
  <si>
    <t xml:space="preserve">customer_name=Suresh Traders; item_name=khidki; quantity=6; rate=700; amount=4200; date=T</t>
  </si>
  <si>
    <t xml:space="preserve">Partial name; total must be computed (6 × 700)</t>
  </si>
  <si>
    <t xml:space="preserve">asked location (source) → Pata nahi; asked location (Suresh) → stopped</t>
  </si>
  <si>
    <t xml:space="preserve">sale_transaction(customer_name=Suresh Traders, item_name=khidki, quantity=6, unit=piece, rate=700, amount=4200, date=2026-10-05)</t>
  </si>
  <si>
    <t xml:space="preserve">CUS-B-05</t>
  </si>
  <si>
    <t xml:space="preserve">Sharma ji ka hisab hua, 3500 mile</t>
  </si>
  <si>
    <t xml:space="preserve">शर्मा जी का हिसाब हुआ, 3500 मिले</t>
  </si>
  <si>
    <t xml:space="preserve">Settled accounts with Sharma ji, got 3500</t>
  </si>
  <si>
    <t xml:space="preserve">customer_name=Sharma ji; amount=3500; date=T</t>
  </si>
  <si>
    <t xml:space="preserve">'hisab hua' + 'mile' → money received</t>
  </si>
  <si>
    <t xml:space="preserve">sale_payment(customer_name=Sharma ji, amount=3500, date=2026-10-05)</t>
  </si>
  <si>
    <t xml:space="preserve">CUS-B-06</t>
  </si>
  <si>
    <t xml:space="preserve">₹2500 Sharma ji se aaye online</t>
  </si>
  <si>
    <t xml:space="preserve">₹2500 शर्मा जी से आए ऑनलाइन</t>
  </si>
  <si>
    <t xml:space="preserve">₹2500 came from Sharma ji online</t>
  </si>
  <si>
    <t xml:space="preserve">customer_name=Sharma ji; amount=2500; date=T</t>
  </si>
  <si>
    <t xml:space="preserve">Amount first, 'online'</t>
  </si>
  <si>
    <t xml:space="preserve">sale_payment(customer_name=Sharma ji, amount=2500, date=2026-10-05)</t>
  </si>
  <si>
    <t xml:space="preserve">CUS-B-07</t>
  </si>
  <si>
    <t xml:space="preserve">Suresh Traders ne parso jo 1000 eent li thi uske 4000 aaj de gaye</t>
  </si>
  <si>
    <t xml:space="preserve">सुरेश ट्रेडर्स ने परसों जो 1000 ईंट ली थी उसके 4000 आज दे गए</t>
  </si>
  <si>
    <t xml:space="preserve">Suresh Traders paid 4000 today for the 1000 bricks they took the day before yesterday</t>
  </si>
  <si>
    <t xml:space="preserve">Old sale only referenced — must NOT create a second sale (double stock + double bill)</t>
  </si>
  <si>
    <t xml:space="preserve">record_sale_payment: no entry, no question (route=accounting)</t>
  </si>
  <si>
    <t xml:space="preserve">sale_payment(customer_name=Suresh Traders, amount=4000, note=jo 1000 eent li thi, date=2026-10-05)</t>
  </si>
  <si>
    <t xml:space="preserve">CUS-B-08</t>
  </si>
  <si>
    <t xml:space="preserve">Sharma ji ko teen sau eent saade teen hazaar mein di</t>
  </si>
  <si>
    <t xml:space="preserve">शर्मा जी को तीन सौ ईंट साढ़े तीन हज़ार में दी</t>
  </si>
  <si>
    <t xml:space="preserve">Gave Sharma ji three hundred bricks for three and a half thousand</t>
  </si>
  <si>
    <t xml:space="preserve">customer_name=Sharma ji; item_name=eent; quantity=300; amount=3500; date=T</t>
  </si>
  <si>
    <t xml:space="preserve">Both numbers in words</t>
  </si>
  <si>
    <t xml:space="preserve">sale_transaction(customer_name=Sharma ji, item_name=eent, quantity=300, rate=11, amount=3300, date=2026-10-05)</t>
  </si>
  <si>
    <t xml:space="preserve">record_sale_transaction: amount 3300.0≠3500</t>
  </si>
  <si>
    <t xml:space="preserve">sale_transaction(customer_name=Sharma ji, item_name=eent, quantity=300, amount=3500, date=2026-10-05)</t>
  </si>
  <si>
    <t xml:space="preserve">CUS-B-09</t>
  </si>
  <si>
    <t xml:space="preserve">suresh tradrs ko 500 int 4000 me di</t>
  </si>
  <si>
    <t xml:space="preserve">सुरेश ट्रेडस को 500 इंट 4000 मे दी</t>
  </si>
  <si>
    <t xml:space="preserve">gave suresh tradrs 500 brcks for 4000</t>
  </si>
  <si>
    <t xml:space="preserve">customer_name=Suresh Traders; item_name=eent; quantity=500; amount=4000; date=T</t>
  </si>
  <si>
    <t xml:space="preserve">Typos in name and item</t>
  </si>
  <si>
    <t xml:space="preserve">asked location (source) → Pata nahi; asked location (tradrs) → stopped</t>
  </si>
  <si>
    <t xml:space="preserve">sale_transaction(customer_name=Suresh Traders, item_name=int, quantity=500, unit=piece, amount=4000, date=2026-10-05)</t>
  </si>
  <si>
    <t xml:space="preserve">CUS-B-10</t>
  </si>
  <si>
    <t xml:space="preserve">Aaj ki bikri — Sharma ji 800 eent 6400</t>
  </si>
  <si>
    <t xml:space="preserve">आज की बिक्री — शर्मा जी 800 ईंट 6400</t>
  </si>
  <si>
    <t xml:space="preserve">Today's sale — Sharma ji 800 bricks 6400</t>
  </si>
  <si>
    <t xml:space="preserve">customer_name=Sharma ji; item_name=eent; quantity=800; amount=6400; date=T</t>
  </si>
  <si>
    <t xml:space="preserve">Register-style shorthand, no verb</t>
  </si>
  <si>
    <t xml:space="preserve">sale_transaction(customer_name=Sharma ji, item_name=eent, quantity=800, amount=6400, date=2026-10-05)</t>
  </si>
  <si>
    <t xml:space="preserve">CUS-C-01</t>
  </si>
  <si>
    <t xml:space="preserve">Sharma ji ko eent bhej di</t>
  </si>
  <si>
    <t xml:space="preserve">शर्मा जी को ईंट भेज दी</t>
  </si>
  <si>
    <t xml:space="preserve">Sent bricks to Sharma ji</t>
  </si>
  <si>
    <t xml:space="preserve">customer_name=Sharma ji; item_name=eent; date=T</t>
  </si>
  <si>
    <t xml:space="preserve">Quantity and amount missing</t>
  </si>
  <si>
    <t xml:space="preserve">sale_transaction(customer_name=Sharma ji, item_name=eent, note=bhej di, date=2026-10-05)</t>
  </si>
  <si>
    <t xml:space="preserve">record_sale_transaction: recorded instead of asking (values guessed)</t>
  </si>
  <si>
    <t xml:space="preserve">asked location (source) → Pata nahi; asked amount (sale_transaction)</t>
  </si>
  <si>
    <t xml:space="preserve">CUS-C-02</t>
  </si>
  <si>
    <t xml:space="preserve">Suresh Traders ko 500 eent di</t>
  </si>
  <si>
    <t xml:space="preserve">सुरेश ट्रेडर्स को 500 ईंट दी</t>
  </si>
  <si>
    <t xml:space="preserve">Gave 500 bricks to Suresh Traders</t>
  </si>
  <si>
    <t xml:space="preserve">customer_name=Suresh Traders; item_name=eent; quantity=500; date=T</t>
  </si>
  <si>
    <t xml:space="preserve">sale_transaction(customer_name=Suresh Traders, item_name=eent, quantity=500, date=2026-10-05)</t>
  </si>
  <si>
    <t xml:space="preserve">CUS-C-03</t>
  </si>
  <si>
    <t xml:space="preserve">Sharma ji ne 50 eent wapas ki, tooti hui thi, 400 kam karne hain</t>
  </si>
  <si>
    <t xml:space="preserve">शर्मा जी ने 50 ईंट वापस की, टूटी हुई थी, 400 कम करने हैं</t>
  </si>
  <si>
    <t xml:space="preserve">Sharma ji returned 50 bricks, they were broken, reduce 400</t>
  </si>
  <si>
    <t xml:space="preserve">customer_name=Sharma ji; item_name=eent; quantity=-50; amount=-400; date=T</t>
  </si>
  <si>
    <t xml:space="preserve">Sales return — negative quantity and amount</t>
  </si>
  <si>
    <t xml:space="preserve">sale_transaction(customer_name=Sharma ji, item_name=eent, quantity=50, note=tooti hui thi, date=2026-10-05)</t>
  </si>
  <si>
    <t xml:space="preserve">record_sale_transaction: amount 0.0≠-400; quantity 50.0≠-50</t>
  </si>
  <si>
    <t xml:space="preserve">sale_transaction(customer_name=Sharma ji, item_name=eent, quantity=-50, amount=-400, note=tooti hui thi, date=2026-10-05)</t>
  </si>
  <si>
    <t xml:space="preserve">CUS-C-04</t>
  </si>
  <si>
    <t xml:space="preserve">Suresh Traders ko 1000 eent di 8000 mein, nahi nahi 9000 mein</t>
  </si>
  <si>
    <t xml:space="preserve">सुरेश ट्रेडर्स को 1000 ईंट दी 8000 में, नहीं नहीं 9000 में</t>
  </si>
  <si>
    <t xml:space="preserve">Gave Suresh Traders 1000 bricks for 8000, no no, for 9000</t>
  </si>
  <si>
    <t xml:space="preserve">Self-correction — exactly ONE sale of 9000</t>
  </si>
  <si>
    <t xml:space="preserve">sale_transaction(customer_name=Suresh Traders, item_name=eent, quantity=1000, amount=9000, date=2026-10-05)</t>
  </si>
  <si>
    <t xml:space="preserve">CUS-C-05</t>
  </si>
  <si>
    <t xml:space="preserve">Sharma ji ko kal 500 eent denge</t>
  </si>
  <si>
    <t xml:space="preserve">शर्मा जी को कल 500 ईंट देंगे</t>
  </si>
  <si>
    <t xml:space="preserve">Will give Sharma ji 500 bricks tomorrow</t>
  </si>
  <si>
    <t xml:space="preserve">Future plan — nothing happened yet</t>
  </si>
  <si>
    <t xml:space="preserve">CUS-C-06</t>
  </si>
  <si>
    <t xml:space="preserve">Sharma ji ka kitna baaki hai?</t>
  </si>
  <si>
    <t xml:space="preserve">शर्मा जी का कितना बाकी है?</t>
  </si>
  <si>
    <t xml:space="preserve">How much does Sharma ji owe?</t>
  </si>
  <si>
    <t xml:space="preserve">CUS-C-07</t>
  </si>
  <si>
    <t xml:space="preserve">Mukesh ne 2000 diye</t>
  </si>
  <si>
    <t xml:space="preserve">मुकेश ने 2000 दिए</t>
  </si>
  <si>
    <t xml:space="preserve">Mukesh gave 2000</t>
  </si>
  <si>
    <t xml:space="preserve">customer_name=Mukesh; amount=2000; date=T</t>
  </si>
  <si>
    <t xml:space="preserve">Unknown person — role question decides; then payment received</t>
  </si>
  <si>
    <t xml:space="preserve">sale_payment(customer_name=Mukesh, amount=2000, date=2026-10-05)</t>
  </si>
  <si>
    <t xml:space="preserve">CUS-C-08</t>
  </si>
  <si>
    <t xml:space="preserve">Sharma ji ko 500 eent 4000 mein di aur 5000 mile</t>
  </si>
  <si>
    <t xml:space="preserve">शर्मा जी को 500 ईंट 4000 में दी और 5000 मिले</t>
  </si>
  <si>
    <t xml:space="preserve">Gave Sharma ji 500 bricks for 4000 and received 5000</t>
  </si>
  <si>
    <t xml:space="preserve">Payment larger than the sale (old dues too) — keep 5000, do not cap at 4000</t>
  </si>
  <si>
    <t xml:space="preserve">CUS-C-09</t>
  </si>
  <si>
    <t xml:space="preserve">Sharma ji ka pichla 3000 baaki hai</t>
  </si>
  <si>
    <t xml:space="preserve">शर्मा जी का पिछला 3000 बाकी है</t>
  </si>
  <si>
    <t xml:space="preserve">Sharma ji has 3000 old dues pending</t>
  </si>
  <si>
    <t xml:space="preserve">record_opening_balance</t>
  </si>
  <si>
    <t xml:space="preserve">party_name=Sharma ji; amount=3000; direction=lena</t>
  </si>
  <si>
    <t xml:space="preserve">Old balance (no money moved) — opposite of A-05</t>
  </si>
  <si>
    <t xml:space="preserve">opening_balance(party_name=Sharma ji, amount=3000, direction=lena, note=pichla baaki hai, date=2026-10-05)</t>
  </si>
  <si>
    <t xml:space="preserve">opening_balance(party_name=Sharma ji, amount=3000, direction=lena, date=2026-10-05)</t>
  </si>
  <si>
    <t xml:space="preserve">CUS-C-10</t>
  </si>
  <si>
    <t xml:space="preserve">Suresh ko 1000 eent 8 mein di</t>
  </si>
  <si>
    <t xml:space="preserve">सुरेश को 1000 ईंट 8 में दी</t>
  </si>
  <si>
    <t xml:space="preserve">Gave Suresh 1000 bricks at 8</t>
  </si>
  <si>
    <t xml:space="preserve">customer_name=Suresh Traders; item_name=eent; quantity=1000; rate=8; amount=8000; date=T</t>
  </si>
  <si>
    <t xml:space="preserve">Small number is the RATE, not the total</t>
  </si>
  <si>
    <t xml:space="preserve">asked location (source) → Pata nahi; asked location (8) → stopped</t>
  </si>
  <si>
    <t xml:space="preserve">sale_transaction(customer_name=Suresh Traders, item_name=eent, quantity=1000, rate=8, amount=8000, date=2026-10-05)</t>
  </si>
  <si>
    <t xml:space="preserve">CUS-D-01</t>
  </si>
  <si>
    <t xml:space="preserve">Gupta ji ko 10 kilo cheeni 450 mein di, udhaar</t>
  </si>
  <si>
    <t xml:space="preserve">गुप्ता जी को 10 किलो चीनी 450 में दी, उधार</t>
  </si>
  <si>
    <t xml:space="preserve">Gave Gupta ji 10 kg sugar for 450, on credit</t>
  </si>
  <si>
    <t xml:space="preserve">customer_name=Gupta ji; item_name=cheeni; quantity=10; unit=kg; amount=450; date=T</t>
  </si>
  <si>
    <t xml:space="preserve">Grocery; kg; credit (no payment)</t>
  </si>
  <si>
    <t xml:space="preserve">asked location (source) → Pata nahi; asked location (Gupta ji) → stopped</t>
  </si>
  <si>
    <t xml:space="preserve">sale_transaction(customer_name=Gupta ji, item_name=cheeni, quantity=10, unit=kg, amount=450, note=udhaar, date=2026-10-05)</t>
  </si>
  <si>
    <t xml:space="preserve">CUS-D-02</t>
  </si>
  <si>
    <t xml:space="preserve">Verma ji ko 20 litre doodh 1200 mein diya aur paise mil gaye</t>
  </si>
  <si>
    <t xml:space="preserve">वर्मा जी को 20 लीटर दूध 1200 में दिया और पैसे मिल गए</t>
  </si>
  <si>
    <t xml:space="preserve">Gave Verma ji 20 litres of milk for 1200 and got paid</t>
  </si>
  <si>
    <t xml:space="preserve">customer_name=Verma ji; item_name=doodh; quantity=20; unit=litre; amount=1200; date=T</t>
  </si>
  <si>
    <t xml:space="preserve">Dairy; litre; sale + payment</t>
  </si>
  <si>
    <t xml:space="preserve">asked location (source) → Pata nahi; asked location (Verma ji) → stopped</t>
  </si>
  <si>
    <t xml:space="preserve">sale_transaction(customer_name=Verma ji, item_name=doodh, quantity=20, unit=litre, amount=1200, date=2026-10-05)</t>
  </si>
  <si>
    <t xml:space="preserve">customer_name=Verma ji; amount=1200; date=T</t>
  </si>
  <si>
    <t xml:space="preserve">record_sale_payment: asked material_movement:LOCATION_TYPE_CONFIRMATION </t>
  </si>
  <si>
    <t xml:space="preserve">sale_payment(customer_name=Verma ji, amount=1200, note=Paise mil gaye, date=2026-10-05)</t>
  </si>
  <si>
    <t xml:space="preserve">CUS-D-03</t>
  </si>
  <si>
    <t xml:space="preserve">Rajesh ko 15 bori cement 380 ki bori ke hisab se di</t>
  </si>
  <si>
    <t xml:space="preserve">राजेश को 15 बोरी सीमेंट 380 की बोरी के हिसाब से दी</t>
  </si>
  <si>
    <t xml:space="preserve">Gave Rajesh 15 bags of cement at 380 per bag</t>
  </si>
  <si>
    <t xml:space="preserve">customer_name=Rajesh; item_name=cement; quantity=15; unit=bag; rate=380; amount=5700; date=T</t>
  </si>
  <si>
    <t xml:space="preserve">Hardware; bag; rate × quantity</t>
  </si>
  <si>
    <t xml:space="preserve">asked location (source) → Pata nahi; asked location (Rajesh) → stopped</t>
  </si>
  <si>
    <t xml:space="preserve">sale_transaction(customer_name=Rajesh, item_name=cement, quantity=15, unit=bag, rate=380, amount=5700, date=2026-10-05)</t>
  </si>
  <si>
    <t xml:space="preserve">CUS-D-04</t>
  </si>
  <si>
    <t xml:space="preserve">Yadav ji ki site pe 2 trolley reta gaya, 7000 ka</t>
  </si>
  <si>
    <t xml:space="preserve">यादव जी की साइट पे 2 ट्रॉली रेता गया, 7000 का</t>
  </si>
  <si>
    <t xml:space="preserve">2 trolleys of sand went to Yadav ji's site, worth 7000</t>
  </si>
  <si>
    <t xml:space="preserve">customer_name=Yadav ji; item_name=reta; quantity=2; unit=trolley; amount=7000; date=T</t>
  </si>
  <si>
    <t xml:space="preserve">Sand; trolley; delivered to the customer's site</t>
  </si>
  <si>
    <t xml:space="preserve">asked location (destination) → Pata nahi; asked location (Yadav ji ki site) → stopped</t>
  </si>
  <si>
    <t xml:space="preserve">sale_transaction(customer_name=Yadav ji ki site, item_name=reta, quantity=2, unit=trolley, amount=7000, date=2026-10-05)</t>
  </si>
  <si>
    <t xml:space="preserve">CUS-D-05</t>
  </si>
  <si>
    <t xml:space="preserve">Mehta ji ko 200 sqft tile 45 rupaye sqft ke bhav se bechi</t>
  </si>
  <si>
    <t xml:space="preserve">मेहता जी को 200 स्क्वायर फीट टाइल 45 रुपये स्क्वायर फीट के भाव से बेची</t>
  </si>
  <si>
    <t xml:space="preserve">Sold Mehta ji 200 sqft of tiles at 45 rupees per sqft</t>
  </si>
  <si>
    <t xml:space="preserve">customer_name=Mehta ji; item_name=tile; quantity=200; unit=sqft; rate=45; amount=9000; date=T</t>
  </si>
  <si>
    <t xml:space="preserve">Tiles; sqft; 'bhav' = rate</t>
  </si>
  <si>
    <t xml:space="preserve">asked location (source) → Pata nahi; asked location (Mehta ji) → stopped</t>
  </si>
  <si>
    <t xml:space="preserve">sale_transaction(customer_name=Mehta ji, item_name=tile, quantity=200, unit=sqft, rate=45, amount=9000, date=2026-10-05)</t>
  </si>
  <si>
    <t xml:space="preserve">CUS-D-06</t>
  </si>
  <si>
    <t xml:space="preserve">Sharma ji ko 2 tin paint 3200 ka diya, 2000 abhi mile</t>
  </si>
  <si>
    <t xml:space="preserve">शर्मा जी को 2 टिन पेंट 3200 का दिया, 2000 अभी मिले</t>
  </si>
  <si>
    <t xml:space="preserve">Gave Sharma ji 2 tins of paint worth 3200, got 2000 now</t>
  </si>
  <si>
    <t xml:space="preserve">customer_name=Sharma ji; item_name=paint; quantity=2; unit=tin; amount=3200; date=T</t>
  </si>
  <si>
    <t xml:space="preserve">Paint; tin; partial payment</t>
  </si>
  <si>
    <t xml:space="preserve">sale_transaction(customer_name=Sharma ji, item_name=paint, quantity=2, unit=tin, amount=3200, date=2026-10-05)</t>
  </si>
  <si>
    <t xml:space="preserve">sale_payment(customer_name=Sharma ji, amount=2000, note=abhi, date=2026-10-05)</t>
  </si>
  <si>
    <t xml:space="preserve">CUS-D-07</t>
  </si>
  <si>
    <t xml:space="preserve">Rohit ka phone theek kiya, 800 liye</t>
  </si>
  <si>
    <t xml:space="preserve">रोहित का फोन ठीक किया, 800 लिए</t>
  </si>
  <si>
    <t xml:space="preserve">Repaired Rohit's phone, charged 800</t>
  </si>
  <si>
    <t xml:space="preserve">customer_name=Rohit; amount=800; date=T</t>
  </si>
  <si>
    <t xml:space="preserve">Service (repair) recorded as a sale + payment received</t>
  </si>
  <si>
    <t xml:space="preserve">sale_transaction(customer_name=Rohit, item_name=phone, amount=800, note=theek kiya, date=2026-10-05)</t>
  </si>
  <si>
    <t xml:space="preserve">sale_payment(customer_name=Rohit, amount=800, date=2026-10-05)</t>
  </si>
  <si>
    <t xml:space="preserve">sale_payment(customer_name=Rohit, amount=800, note=phone theek kiya, date=2026-10-05)</t>
  </si>
  <si>
    <t xml:space="preserve">CUS-D-08</t>
  </si>
  <si>
    <t xml:space="preserve">Kapoor ji ko 1 almari 15000 mein bechi, 5000 advance pehle hi de chuke the</t>
  </si>
  <si>
    <t xml:space="preserve">कपूर जी को 1 अलमारी 15000 में बेची, 5000 एडवांस पहले ही दे चुके थे</t>
  </si>
  <si>
    <t xml:space="preserve">Sold Kapoor ji 1 cupboard for 15000, he had already paid 5000 advance earlier</t>
  </si>
  <si>
    <t xml:space="preserve">customer_name=Kapoor ji; item_name=almari; quantity=1; amount=15000; date=T</t>
  </si>
  <si>
    <t xml:space="preserve">Furniture; earlier advance must NOT become a new payment</t>
  </si>
  <si>
    <t xml:space="preserve">asked location (source) → Pata nahi; asked location (Kapoor ji) → stopped</t>
  </si>
  <si>
    <t xml:space="preserve">sale_transaction(customer_name=Kapoor ji, item_name=almari, quantity=1, unit=piece, amount=15000, note=5000 advance pehle hi de chuke the, date=2026-10-05)</t>
  </si>
  <si>
    <t xml:space="preserve">CUS-D-09</t>
  </si>
  <si>
    <t xml:space="preserve">Raju hotel wale ko 50 kilo aloo 20 rupaye kilo diye</t>
  </si>
  <si>
    <t xml:space="preserve">राजू होटल वाले को 50 किलो आलू 20 रुपये किलो दिए</t>
  </si>
  <si>
    <t xml:space="preserve">Gave Raju the hotel owner 50 kg potatoes at 20 rupees a kilo</t>
  </si>
  <si>
    <t xml:space="preserve">customer_name=Raju; item_name=aloo; quantity=50; unit=kg; rate=20; amount=1000; date=T</t>
  </si>
  <si>
    <t xml:space="preserve">Vegetables; 'hotel wale' describes the person, not part of the name</t>
  </si>
  <si>
    <t xml:space="preserve">sale_transaction(customer_name=Raju, item_name=aloo, quantity=50, unit=kg, rate=20, amount=1000, date=2026-10-05)</t>
  </si>
  <si>
    <t xml:space="preserve">EXTRA entry: record_sale_payment Raju hotel wale 1000.0</t>
  </si>
  <si>
    <t xml:space="preserve">CUS-D-10</t>
  </si>
  <si>
    <t xml:space="preserve">Neha ko 3 suit 2400 ke diye, GPay se payment aayi</t>
  </si>
  <si>
    <t xml:space="preserve">नेहा को 3 सूट 2400 के दिए, जीपे से पेमेंट आई</t>
  </si>
  <si>
    <t xml:space="preserve">Gave Neha 3 suits for 2400, payment came on GPay</t>
  </si>
  <si>
    <t xml:space="preserve">customer_name=Neha; item_name=suit; quantity=3; amount=2400; date=T</t>
  </si>
  <si>
    <t xml:space="preserve">Clothes shop; UPI payment</t>
  </si>
  <si>
    <t xml:space="preserve">sale_transaction(customer_name=Neha, item_name=suit, quantity=3, amount=2400, date=2026-10-05)</t>
  </si>
  <si>
    <t xml:space="preserve">customer_name=Neha; amount=2400; date=T</t>
  </si>
  <si>
    <t xml:space="preserve">sale_payment(customer_name=Neha, amount=2400, note=GPay se payment aayi, date=2026-10-05)</t>
  </si>
  <si>
    <t xml:space="preserve">CUS-E-01</t>
  </si>
  <si>
    <t xml:space="preserve">Sharma ji ko 1000 eent 8000 mein di, Kitanu gaadi lekar gaya</t>
  </si>
  <si>
    <t xml:space="preserve">शर्मा जी को 1000 ईंट 8000 में दी, कितनू गाड़ी लेकर गया</t>
  </si>
  <si>
    <t xml:space="preserve">Gave Sharma ji 1000 bricks for 8000, Kitanu drove the vehicle</t>
  </si>
  <si>
    <t xml:space="preserve">customer_name=Sharma ji; item_name=eent; quantity=1000; amount=8000; driver_name=Kitanu; date=T</t>
  </si>
  <si>
    <t xml:space="preserve">Driver is a field of the sale — no separate employee entry</t>
  </si>
  <si>
    <t xml:space="preserve">sale_transaction(customer_name=Sharma ji, item_name=eent, quantity=1000, amount=8000, date=2026-10-05)</t>
  </si>
  <si>
    <t xml:space="preserve">sale_transaction(customer_name=Sharma ji, item_name=eent, quantity=1000, amount=8000, note=Kitanu gaadi lekar gaya, date=2026-10-05)</t>
  </si>
  <si>
    <t xml:space="preserve">EXTRA entry: record_attendance Kitanu </t>
  </si>
  <si>
    <t xml:space="preserve">CUS-E-02</t>
  </si>
  <si>
    <t xml:space="preserve">Suresh Traders se 5000 aaye aur Ram ko 700 diye</t>
  </si>
  <si>
    <t xml:space="preserve">सुरेश ट्रेडर्स से 5000 आए और राम को 700 दिए</t>
  </si>
  <si>
    <t xml:space="preserve">Received 5000 from Suresh Traders and gave Ram 700</t>
  </si>
  <si>
    <t xml:space="preserve">customer_name=Suresh Traders; amount=5000; date=T</t>
  </si>
  <si>
    <t xml:space="preserve">Money in (customer) + money out (employee)</t>
  </si>
  <si>
    <t xml:space="preserve">sale_payment(customer_name=Suresh Traders, amount=5000, date=2026-10-05)</t>
  </si>
  <si>
    <t xml:space="preserve">employee_name=Ram; transaction_type=payment; amount=700; date=T</t>
  </si>
  <si>
    <t xml:space="preserve">employee_transaction(employee_name=Ram, transaction_type=payment, amount=700, date=2026-10-05)</t>
  </si>
  <si>
    <t xml:space="preserve">CUS-E-03</t>
  </si>
  <si>
    <t xml:space="preserve">SBI bhatte se 2000 eent aayi aur seedha Sharma ji ki site pe utri, Sharma ji se 18000 lene hain</t>
  </si>
  <si>
    <t xml:space="preserve">एसबीआई भट्टे से 2000 ईंट आई और सीधा शर्मा जी की साइट पे उतरी, शर्मा जी से 18000 लेने हैं</t>
  </si>
  <si>
    <t xml:space="preserve">2000 bricks came from SBI Bhatta and were unloaded straight at Sharma ji's site, 18000 to collect from Sharma ji</t>
  </si>
  <si>
    <t xml:space="preserve">supplier_name=SBI Bhatta; item_name=eent; quantity=2000; date=T</t>
  </si>
  <si>
    <t xml:space="preserve">Direct sale — goods never entered storage, stock must not change</t>
  </si>
  <si>
    <t xml:space="preserve">asked location (Sharma ji ki site) → stopped</t>
  </si>
  <si>
    <t xml:space="preserve">asked amount (sale_transaction)</t>
  </si>
  <si>
    <t xml:space="preserve">record_supplier_transaction: asked missing_argument:record_sale_transaction ['amount']</t>
  </si>
  <si>
    <t xml:space="preserve">customer_name=Sharma ji; item_name=eent; quantity=2000; amount=18000; update_inventory=False; date=T</t>
  </si>
  <si>
    <t xml:space="preserve">CUS-E-04</t>
  </si>
  <si>
    <t xml:space="preserve">Gudam se 500 eent shop pe gayi, wahan se 200 Sharma ji ko 1800 mein bechi</t>
  </si>
  <si>
    <t xml:space="preserve">गोदाम से 500 ईंट दुकान पे गई, वहाँ से 200 शर्मा जी को 1800 में बेची</t>
  </si>
  <si>
    <t xml:space="preserve">500 bricks went from the warehouse to the shop, from there sold 200 to Sharma ji for 1800</t>
  </si>
  <si>
    <t xml:space="preserve">item_name=eent; quantity=500; source_name=gudam; destination_name=shop; date=T</t>
  </si>
  <si>
    <t xml:space="preserve">Internal movement + sale from the new location</t>
  </si>
  <si>
    <t xml:space="preserve">no entry</t>
  </si>
  <si>
    <t xml:space="preserve">ERROR InvalidUpdateError: At key 'single_group': Can rec</t>
  </si>
  <si>
    <t xml:space="preserve">material_movement(item_name=eent, quantity=500, date=2026-10-05)</t>
  </si>
  <si>
    <t xml:space="preserve">customer_name=Sharma ji; item_name=eent; quantity=200; amount=1800; source=shop; date=T</t>
  </si>
  <si>
    <t xml:space="preserve">record_material_movement: no entry, no question (route=None)</t>
  </si>
  <si>
    <t xml:space="preserve">sale_transaction(customer_name=Sharma ji, supplier_name=Shop, item_name=eent, quantity=200, amount=1800, source=Shop, date=2026-10-05)</t>
  </si>
  <si>
    <t xml:space="preserve">CUS-E-05</t>
  </si>
  <si>
    <t xml:space="preserve">Sharma ji ko 300 eent 2700 mein di, tractor mein 400 ka diesel dalwaya</t>
  </si>
  <si>
    <t xml:space="preserve">शर्मा जी को 300 ईंट 2700 में दी, ट्रैक्टर में 400 का डीज़ल डलवाया</t>
  </si>
  <si>
    <t xml:space="preserve">Gave Sharma ji 300 bricks for 2700, put 400 worth of diesel in the tractor</t>
  </si>
  <si>
    <t xml:space="preserve">customer_name=Sharma ji; item_name=eent; quantity=300; amount=2700; date=T</t>
  </si>
  <si>
    <t xml:space="preserve">Sale + fuel expense</t>
  </si>
  <si>
    <t xml:space="preserve">sale_transaction(customer_name=Sharma ji, item_name=eent, quantity=300, amount=2700, date=2026-10-05)</t>
  </si>
  <si>
    <t xml:space="preserve">amount=400; category=fuel; date=T</t>
  </si>
  <si>
    <t xml:space="preserve">expense(amount=400, category=fuel, date=2026-10-05)</t>
  </si>
  <si>
    <t xml:space="preserve">CUS-E-06</t>
  </si>
  <si>
    <t xml:space="preserve">Suresh Traders ko 1500 eent 12000 mein bheji, Ram aur Sohan ne load ki, dono ko 300-300 diye</t>
  </si>
  <si>
    <t xml:space="preserve">सुरेश ट्रेडर्स को 1500 ईंट 12000 में भेजी, राम और सोहन ने लोड की, दोनों को 300-300 दिए</t>
  </si>
  <si>
    <t xml:space="preserve">Sent 1500 bricks to Suresh Traders for 12000, Ram and Sohan loaded them, paid both 300 each</t>
  </si>
  <si>
    <t xml:space="preserve">'300-300' = 300 to EACH person</t>
  </si>
  <si>
    <t xml:space="preserve">sale_transaction(customer_name=Suresh Traders, item_name=eent, quantity=1500, amount=12000, note=Ram aur Sohan ne load ki, dono ko 300-300 diye, date=2026-10-05)</t>
  </si>
  <si>
    <t xml:space="preserve">employee_name=Ram; transaction_type=payment; amount=300; date=T</t>
  </si>
  <si>
    <t xml:space="preserve">employee_transaction(employee_name=Ram, transaction_type=payment, amount=300, note=Suresh Traders ko 1500 eent 12000 mein bheji, Sohan ne load ki, date=2026-10-05)</t>
  </si>
  <si>
    <t xml:space="preserve">employee_transaction(employee_name=Ram, transaction_type=payment, amount=300, note=Ram ne load ki, date=2026-10-05)</t>
  </si>
  <si>
    <t xml:space="preserve">employee_name=Sohan; transaction_type=payment; amount=300; date=T</t>
  </si>
  <si>
    <t xml:space="preserve">EXTRA entry: record_employee_transaction Ram 300.0</t>
  </si>
  <si>
    <t xml:space="preserve">employee_transaction(employee_name=Sohan, transaction_type=payment, amount=300, note=Sohan ne load ki, date=2026-10-05)</t>
  </si>
  <si>
    <t xml:space="preserve">extra 3</t>
  </si>
  <si>
    <t xml:space="preserve">CUS-E-07</t>
  </si>
  <si>
    <t xml:space="preserve">Sharma ji se 4000 aaye, unme se 3000 SBI bhatte ko de diye</t>
  </si>
  <si>
    <t xml:space="preserve">शर्मा जी से 4000 आए, उनमें से 3000 एसबीआई भट्टे को दे दिए</t>
  </si>
  <si>
    <t xml:space="preserve">Received 4000 from Sharma ji, gave 3000 of it to SBI Bhatta</t>
  </si>
  <si>
    <t xml:space="preserve">Customer money in + supplier money out</t>
  </si>
  <si>
    <t xml:space="preserve">supplier_name=SBI Bhatta; amount=3000; date=T</t>
  </si>
  <si>
    <t xml:space="preserve">supplier_payment(supplier_name=SBI Bhatta, amount=3000, date=2026-10-05)</t>
  </si>
  <si>
    <t xml:space="preserve">CUS-E-08</t>
  </si>
  <si>
    <t xml:space="preserve">Aaj Sohan nahi aaya, Suresh Traders ko 800 eent 6400 mein di</t>
  </si>
  <si>
    <t xml:space="preserve">आज सोहन नहीं आया, सुरेश ट्रेडर्स को 800 ईंट 6400 में दी</t>
  </si>
  <si>
    <t xml:space="preserve">Sohan didn't come today, gave Suresh Traders 800 bricks for 6400</t>
  </si>
  <si>
    <t xml:space="preserve">Attendance + sale</t>
  </si>
  <si>
    <t xml:space="preserve">attendance(employee_name=Sohan, attendance=absent, driving=absent, date=2026-10-05)</t>
  </si>
  <si>
    <t xml:space="preserve">customer_name=Suresh Traders; item_name=eent; quantity=800; amount=6400; date=T</t>
  </si>
  <si>
    <t xml:space="preserve">sale_transaction(customer_name=Suresh Traders, item_name=eent, quantity=800, amount=6400, date=2026-10-05)</t>
  </si>
  <si>
    <t xml:space="preserve">CUS-E-09</t>
  </si>
  <si>
    <t xml:space="preserve">Kal Sharma ji ko 600 eent 5400 mein di thi, aaj unhone 3000 bheje</t>
  </si>
  <si>
    <t xml:space="preserve">कल शर्मा जी को 600 ईंट 5400 में दी थी, आज उन्होंने 3000 भेजे</t>
  </si>
  <si>
    <t xml:space="preserve">Yesterday gave Sharma ji 600 bricks for 5400, today he sent 3000</t>
  </si>
  <si>
    <t xml:space="preserve">customer_name=Sharma ji; item_name=eent; quantity=600; amount=5400; date=T-1</t>
  </si>
  <si>
    <t xml:space="preserve">Two dates in one message — sale yesterday, payment today</t>
  </si>
  <si>
    <t xml:space="preserve">sale_transaction(customer_name=Sharma ji, item_name=eent, quantity=600, amount=5400, date=2026-10-04)</t>
  </si>
  <si>
    <t xml:space="preserve">customer_name=Sharma ji; amount=3000; date=T</t>
  </si>
  <si>
    <t xml:space="preserve">sale_payment(customer_name=Sharma ji, amount=3000, date=2026-10-05)</t>
  </si>
  <si>
    <t xml:space="preserve">CUS-E-10</t>
  </si>
  <si>
    <t xml:space="preserve">Papa ne ghar ke liye 1000 liye aur Sharma ji ne 2500 jama karaye</t>
  </si>
  <si>
    <t xml:space="preserve">पापा ने घर के लिए 1000 लिए और शर्मा जी ने 2500 जमा कराए</t>
  </si>
  <si>
    <t xml:space="preserve">Papa took 1000 for the house and Sharma ji deposited 2500</t>
  </si>
  <si>
    <t xml:space="preserve">member_name=Papa; transaction_type=kharcha; amount=1000; date=T</t>
  </si>
  <si>
    <t xml:space="preserve">Family kharcha + customer payment</t>
  </si>
  <si>
    <t xml:space="preserve">family_transaction(member_name=Papa, transaction_type=kharcha, amount=1000, date=2026-10-05)</t>
  </si>
  <si>
    <t xml:space="preserve">Supplier bundle — test cases and results (before vs after fixes)</t>
  </si>
  <si>
    <t xml:space="preserve">Yellow = written and locked before the first run · Green = from the runs. Before = v1 code (baseline 2026-10-06 00:35, Hinglish, re-scored with the final scorer) · After = the last FULL run of the bundle after the fixes (Hinglish; every test in one run; run id in the After - Run column).</t>
  </si>
  <si>
    <t xml:space="preserve">After = full 50-test run 2026-10-06 15:27, Hinglish.</t>
  </si>
  <si>
    <t xml:space="preserve">SUP-A-01</t>
  </si>
  <si>
    <t xml:space="preserve">sbi bhate se 3000 eent driver kitanu purana bazar sharma ji k 10000 main utari, 10000 diye</t>
  </si>
  <si>
    <t xml:space="preserve">एसबीआई भट्टे से 3000 ईंट ड्राइवर कितनू पुराना बाज़ार शर्मा जी के 10000 में उतारी, 10000 दिए</t>
  </si>
  <si>
    <t xml:space="preserve">3000 bricks from SBI Bhatta, driver Kitanu, unloaded at Sharma ji's in the old market for 10000, he paid 10000</t>
  </si>
  <si>
    <t xml:space="preserve">User's own sentence: direct sale with driver + address + full payment from the customer</t>
  </si>
  <si>
    <t xml:space="preserve">supplier_transaction(customer_name=Sharma ji, supplier_name=SBI Bhatta, item_name=eent, quantity=3000, amount=10000, driver_name=kitanu, date=2026-10-06)</t>
  </si>
  <si>
    <t xml:space="preserve">supplier_transaction(customer_name=Sharma ji, supplier_name=SBI Bhatta, item_name=eent, quantity=3000, amount=10000, date=2026-10-06)</t>
  </si>
  <si>
    <t xml:space="preserve">record_supplier_transaction: driver_name ≠Kitanu</t>
  </si>
  <si>
    <t xml:space="preserve">1527</t>
  </si>
  <si>
    <t xml:space="preserve">customer_name=Sharma ji; item_name=eent; quantity=3000; amount=10000; update_inventory=False; date=T</t>
  </si>
  <si>
    <t xml:space="preserve">sale_transaction(customer_name=Sharma ji, supplier_name=SBI Bhatta, item_name=eent, quantity=3000, amount=10000, driver_name=kitanu, source=sbi bhate, date=2026-10-06)</t>
  </si>
  <si>
    <t xml:space="preserve">sale_transaction(customer_name=Sharma ji, supplier_name=SBI Bhatta, item_name=eent, quantity=3000, amount=10000, source=sbi bhate, date=2026-10-06)</t>
  </si>
  <si>
    <t xml:space="preserve">customer_name=Sharma ji; amount=10000; date=T</t>
  </si>
  <si>
    <t xml:space="preserve">sale_payment(customer_name=Sharma ji, amount=10000, date=2026-10-06)</t>
  </si>
  <si>
    <t xml:space="preserve">SUP-A-02</t>
  </si>
  <si>
    <t xml:space="preserve">Shiv bhatte wali 2500 eent Pappu tractor se Dinod road wale plot pe gira aaya, 20000 lagenge</t>
  </si>
  <si>
    <t xml:space="preserve">शिव भट्टे वाली 2500 ईंट पप्पू ट्रैक्टर से दिनोद रोड वाले प्लॉट पे गिरा आया, 20000 लगेंगे</t>
  </si>
  <si>
    <t xml:space="preserve">Pappu dropped 2500 bricks from Shiv kiln at the Dinod road plot by tractor, it will cost 20000</t>
  </si>
  <si>
    <t xml:space="preserve">supplier_name=Shiv; item_name=eent; quantity=2500; driver_name=Pappu; date=T</t>
  </si>
  <si>
    <t xml:space="preserve">Only an address, no customer name — must ask, not guess</t>
  </si>
  <si>
    <t xml:space="preserve">asked location (Shiv bhatte wali) → supplier; asked location (Dinod road wale plot) → stopped</t>
  </si>
  <si>
    <t xml:space="preserve">SUP-A-03</t>
  </si>
  <si>
    <t xml:space="preserve">Balaji bhatte ki 4000 eent seedha Yadav ji ke ghar gayi, Sonu chala raha tha, 8 rupaye eent</t>
  </si>
  <si>
    <t xml:space="preserve">बालाजी भट्टे की 4000 ईंट सीधा यादव जी के घर गई, सोनू चला रहा था, 8 रुपये ईंट</t>
  </si>
  <si>
    <t xml:space="preserve">4000 bricks from Balaji kiln went straight to Yadav ji's house, Sonu was driving, 8 rupees a brick</t>
  </si>
  <si>
    <t xml:space="preserve">supplier_name=Balaji; item_name=eent; quantity=4000; driver_name=Sonu; date=T</t>
  </si>
  <si>
    <t xml:space="preserve">Name only (no address) + rate × quantity in a direct sale</t>
  </si>
  <si>
    <t xml:space="preserve">supplier_transaction(customer_name=Yadav ji, supplier_name=Balaji bhatte, item_name=eent, quantity=4000, rate=8, amount=32000, driver_name=Sonu, note=seedha, date=2026-10-06)</t>
  </si>
  <si>
    <t xml:space="preserve">supplier_transaction(customer_name=Yadav ji, supplier_name=Balaji bhatte, item_name=eent, quantity=4000, rate=8, amount=32000, driver_name=Sonu, date=2026-10-06)</t>
  </si>
  <si>
    <t xml:space="preserve">customer_name=Yadav ji; item_name=eent; quantity=4000; rate=8; amount=32000; update_inventory=False; date=T</t>
  </si>
  <si>
    <t xml:space="preserve">sale_transaction(customer_name=Yadav ji, supplier_name=Balaji bhatte, item_name=eent, quantity=4000, unit=piece, rate=8, amount=32000, driver_name=Sonu, source=Balaji bhatte, note=seedha, date=2026-10-06)</t>
  </si>
  <si>
    <t xml:space="preserve">sale_transaction(customer_name=Yadav ji, supplier_name=Balaji bhatte, item_name=eent, quantity=4000, unit=piece, rate=8, amount=32000, driver_name=Sonu, source=Balaji bhatte, date=2026-10-06)</t>
  </si>
  <si>
    <t xml:space="preserve">SUP-A-04</t>
  </si>
  <si>
    <t xml:space="preserve">Krishna bhatte se 3000 eent Malik sahab ki Krishna colony wali site pe utri 27000 mein, driver Lalit tha, bhatte ko 15000 de diye</t>
  </si>
  <si>
    <t xml:space="preserve">कृष्णा भट्टे से 3000 ईंट मलिक साहब की कृष्णा कॉलोनी वाली साइट पे उतरी 27000 में, ड्राइवर ललित था, भट्टे को 15000 दे दिए</t>
  </si>
  <si>
    <t xml:space="preserve">3000 bricks from Krishna kiln were unloaded at Malik sahab's Krishna colony site for 27000, driver was Lalit, paid the kiln 15000</t>
  </si>
  <si>
    <t xml:space="preserve">supplier_name=Krishna; item_name=eent; quantity=3000; driver_name=Lalit; date=T</t>
  </si>
  <si>
    <t xml:space="preserve">Name + address; payment goes to the KILN; 'Krishna' appears as kiln and as colony</t>
  </si>
  <si>
    <t xml:space="preserve">asked location (Krishna bhatte) → supplier; asked location (Krishna colony wali site) → supplier</t>
  </si>
  <si>
    <t xml:space="preserve">record_supplier_transaction: no entry, no question (route=accounting)</t>
  </si>
  <si>
    <t xml:space="preserve">supplier_transaction(customer_name=Malik sahab, supplier_name=Krishna bhatte, item_name=eent, quantity=3000, amount=27000, driver_name=Lalit, date=2026-10-06)</t>
  </si>
  <si>
    <t xml:space="preserve">customer_name=Malik sahab; item_name=eent; quantity=3000; amount=27000; update_inventory=False; date=T</t>
  </si>
  <si>
    <t xml:space="preserve">sale_transaction(customer_name=Malik sahab, supplier_name=Krishna bhatte, item_name=eent, quantity=3000, amount=27000, driver_name=Lalit, source=Krishna bhatte, date=2026-10-06)</t>
  </si>
  <si>
    <t xml:space="preserve">supplier_name=Krishna; amount=15000; date=T</t>
  </si>
  <si>
    <t xml:space="preserve">supplier_payment(supplier_name=bhata, amount=15000, date=2026-10-06)</t>
  </si>
  <si>
    <t xml:space="preserve">record_supplier_payment: person bhata≠Krishna</t>
  </si>
  <si>
    <t xml:space="preserve">supplier_payment(supplier_name=Krishna bhatte, amount=15000, date=2026-10-06)</t>
  </si>
  <si>
    <t xml:space="preserve">SUP-A-05</t>
  </si>
  <si>
    <t xml:space="preserve">Om bhatte se 2000 eent Saini ji ke yahan Purana bazar mein utri 18000 ki, Saini ji ne 18000 de diye aur bhatte ko 12000 diye</t>
  </si>
  <si>
    <t xml:space="preserve">ओम भट्टे से 2000 ईंट सैनी जी के यहाँ पुराना बाज़ार में उतरी 18000 की, सैनी जी ने 18000 दे दिए और भट्टे को 12000 दिए</t>
  </si>
  <si>
    <t xml:space="preserve">2000 bricks from Om kiln unloaded at Saini ji's place in the old market for 18000, Saini ji paid 18000 and we paid the kiln 12000</t>
  </si>
  <si>
    <t xml:space="preserve">supplier_name=Om; item_name=eent; quantity=2000; date=T</t>
  </si>
  <si>
    <t xml:space="preserve">Money in both directions in one sentence</t>
  </si>
  <si>
    <t xml:space="preserve">supplier_transaction(customer_name=Saini ji, supplier_name=Om bhatte, item_name=eent, quantity=2000, amount=18000, date=2026-10-06)</t>
  </si>
  <si>
    <t xml:space="preserve">customer_name=Saini ji; item_name=eent; quantity=2000; amount=18000; update_inventory=False; date=T</t>
  </si>
  <si>
    <t xml:space="preserve">sale_transaction(customer_name=Saini ji, supplier_name=Om bhatte, item_name=eent, quantity=2000, amount=18000, source=Om bhatte, date=2026-10-06)</t>
  </si>
  <si>
    <t xml:space="preserve">customer_name=Saini ji; amount=18000; date=T</t>
  </si>
  <si>
    <t xml:space="preserve">sale_payment(customer_name=Saini ji, amount=18000, date=2026-10-06)</t>
  </si>
  <si>
    <t xml:space="preserve">supplier_name=Om; amount=12000; date=T</t>
  </si>
  <si>
    <t xml:space="preserve">asked location (Om bhatte) → supplier; asked location (Saini ji) → customer</t>
  </si>
  <si>
    <t xml:space="preserve">supplier_payment(supplier_name=Om bhatta, amount=12000, date=2026-10-06)</t>
  </si>
  <si>
    <t xml:space="preserve">SUP-A-06</t>
  </si>
  <si>
    <t xml:space="preserve">Gudam pe SBI bhatte ki 2000 eent utri, Ram gaadi laya, 7 ka rate laga</t>
  </si>
  <si>
    <t xml:space="preserve">गोदाम पे एसबीआई भट्टे की 2000 ईंट उतरी, राम गाड़ी लाया, 7 का रेट लगा</t>
  </si>
  <si>
    <t xml:space="preserve">2000 bricks from SBI Bhatta unloaded at the warehouse, Ram brought the truck, rate was 7</t>
  </si>
  <si>
    <t xml:space="preserve">supplier_name=SBI Bhatta; item_name=eent; quantity=2000; rate=7; amount=14000; destination_location=gudam; driver_name=Ram; date=T</t>
  </si>
  <si>
    <t xml:space="preserve">Normal purchase into storage; rate × quantity; known employee as driver</t>
  </si>
  <si>
    <t xml:space="preserve">supplier_transaction(supplier_name=SBI Bhatta, item_name=eent, quantity=2000, rate=7, amount=14000, driver_name=Ram, date=2026-10-06)</t>
  </si>
  <si>
    <t xml:space="preserve">SUP-A-07</t>
  </si>
  <si>
    <t xml:space="preserve">Mahadev reta wale ko PhonePe se 8000 bheje</t>
  </si>
  <si>
    <t xml:space="preserve">महादेव रेता वाले को फोनपे से 8000 भेजे</t>
  </si>
  <si>
    <t xml:space="preserve">Sent 8000 to Mahadev the sand supplier on PhonePe</t>
  </si>
  <si>
    <t xml:space="preserve">supplier_name=Mahadev; amount=8000; date=T</t>
  </si>
  <si>
    <t xml:space="preserve">Payment only; 'reta wale' describes the person</t>
  </si>
  <si>
    <t xml:space="preserve">asked location (source) → Pata nahi; asked location (Mahadev reta wale) → supplier</t>
  </si>
  <si>
    <t xml:space="preserve">record_supplier_payment: no entry, no question (route=accounting)</t>
  </si>
  <si>
    <t xml:space="preserve">supplier_payment(supplier_name=Mahadev, amount=8000, date=2026-10-06)</t>
  </si>
  <si>
    <t xml:space="preserve">SUP-A-08</t>
  </si>
  <si>
    <t xml:space="preserve">Rakesh aara wale se 40 fatte lakdi shop pe aaye 4800 ke, Bunty laya</t>
  </si>
  <si>
    <t xml:space="preserve">राकेश आरा वाले से 40 फट्टे लकड़ी दुकान पे आए 4800 के, बंटी लाया</t>
  </si>
  <si>
    <t xml:space="preserve">40 wooden planks came from Rakesh the sawmill guy to the shop for 4800, Bunty brought them</t>
  </si>
  <si>
    <t xml:space="preserve">supplier_name=Rakesh; item_name=lakdi; quantity=40; amount=4800; destination_location=shop; driver_name=Bunty; date=T</t>
  </si>
  <si>
    <t xml:space="preserve">Timber supplier; new name with 'aara wale'</t>
  </si>
  <si>
    <t xml:space="preserve">supplier_transaction(supplier_name=Rakesh, item_name=lakdi, quantity=40, unit=piece, rate=120, amount=4800, driver_name=Bunty, date=2026-10-06)</t>
  </si>
  <si>
    <t xml:space="preserve">supplier_transaction(supplier_name=Rakesh, item_name=fatte lakdi, quantity=40, amount=4800, driver_name=Bunty, date=2026-10-06)</t>
  </si>
  <si>
    <t xml:space="preserve">SUP-A-09</t>
  </si>
  <si>
    <t xml:space="preserve">Ganpati bhatte se 1500 eent Sohan tractor mein Chauhan ji ke plot pe Ward 7 le gaya, 12000 ki, Chauhan ji ne 5000 abhi diye</t>
  </si>
  <si>
    <t xml:space="preserve">गणपति भट्टे से 1500 ईंट सोहन ट्रैक्टर में चौहान जी के प्लॉट पे वार्ड 7 ले गया, 12000 की, चौहान जी ने 5000 अभी दिए</t>
  </si>
  <si>
    <t xml:space="preserve">Sohan took 1500 bricks from Ganpati kiln by tractor to Chauhan ji's plot in Ward 7, worth 12000, Chauhan ji paid 5000 now</t>
  </si>
  <si>
    <t xml:space="preserve">supplier_name=Ganpati; item_name=eent; quantity=1500; driver_name=Sohan; date=T</t>
  </si>
  <si>
    <t xml:space="preserve">Direct sale with driver + address + partial payment from the customer</t>
  </si>
  <si>
    <t xml:space="preserve">supplier_transaction(customer_name=Chauhan ji, supplier_name=Ganpati bhatte, item_name=eent, quantity=1500, unit=ton, amount=12000, driver_name=Sohan, date=2026-10-06)</t>
  </si>
  <si>
    <t xml:space="preserve">supplier_transaction(customer_name=Chauhan ji, supplier_name=Ganpati bhatte, item_name=eent, quantity=1500, amount=12000, driver_name=Sohan, date=2026-10-06)</t>
  </si>
  <si>
    <t xml:space="preserve">customer_name=Chauhan ji; item_name=eent; quantity=1500; amount=12000; update_inventory=False; date=T</t>
  </si>
  <si>
    <t xml:space="preserve">sale_transaction(customer_name=Chauhan ji, supplier_name=Ganpati bhatte, item_name=eent, quantity=1500, unit=ton, amount=12000, driver_name=Sohan, source=Ganpati bhatte, date=2026-10-06)</t>
  </si>
  <si>
    <t xml:space="preserve">sale_transaction(customer_name=Chauhan ji, supplier_name=Ganpati bhatte, item_name=eent, quantity=1500, unit=ton, rate=8, amount=12000, driver_name=Sohan, source=Ganpati bhatte, date=2026-10-06)</t>
  </si>
  <si>
    <t xml:space="preserve">customer_name=Chauhan ji; amount=5000; date=T</t>
  </si>
  <si>
    <t xml:space="preserve">sale_payment(customer_name=Chauhan ji, amount=5000, note=abhi, date=2026-10-06)</t>
  </si>
  <si>
    <t xml:space="preserve">SUP-A-10</t>
  </si>
  <si>
    <t xml:space="preserve">Kal Durga bhatte se 4000 eent aayi thi 28000 ki, usi din unko 15000 de diye</t>
  </si>
  <si>
    <t xml:space="preserve">कल दुर्गा भट्टे से 4000 ईंट आई थी 28000 की, उसी दिन उनको 15000 दे दिए</t>
  </si>
  <si>
    <t xml:space="preserve">Yesterday 4000 bricks came from Durga kiln for 28000, paid them 15000 the same day</t>
  </si>
  <si>
    <t xml:space="preserve">supplier_name=Durga; item_name=eent; quantity=4000; amount=28000; date=T-1</t>
  </si>
  <si>
    <t xml:space="preserve">'usi din' = yesterday for the payment too; 'unko' = the kiln</t>
  </si>
  <si>
    <t xml:space="preserve">supplier_transaction(supplier_name=Durga bhatte, item_name=eent, quantity=4000, amount=28000, date=2026-10-05)</t>
  </si>
  <si>
    <t xml:space="preserve">supplier_name=Durga; amount=15000; date=T-1</t>
  </si>
  <si>
    <t xml:space="preserve">asked location (destination) → Pata nahi; asked location (Durga bhatte) → supplier</t>
  </si>
  <si>
    <t xml:space="preserve">EXTRA entry: record_family_transaction Unko 15000.0</t>
  </si>
  <si>
    <t xml:space="preserve">supplier_payment(supplier_name=Durga bhatte, amount=15000, date=2026-10-05)</t>
  </si>
  <si>
    <t xml:space="preserve">SUP-B-01</t>
  </si>
  <si>
    <t xml:space="preserve">shiv wale bhatte pe 12k jama kara aaye</t>
  </si>
  <si>
    <t xml:space="preserve">शिव वाले भट्टे पे 12 हज़ार जमा करा आए</t>
  </si>
  <si>
    <t xml:space="preserve">deposited 12k at shiv kiln</t>
  </si>
  <si>
    <t xml:space="preserve">supplier_name=Shiv; amount=12000; date=T</t>
  </si>
  <si>
    <t xml:space="preserve">'12k'; here 'jama kara aaye' = WE paid (opposite of a customer's 'jama')</t>
  </si>
  <si>
    <t xml:space="preserve">asked location (destination) → Pata nahi; asked location (Shiv wale bhatte) → supplier</t>
  </si>
  <si>
    <t xml:space="preserve">supplier_payment(supplier_name=shiv wale bhatte, amount=12000, note=jama kara aaye, date=2026-10-06)</t>
  </si>
  <si>
    <t xml:space="preserve">EXTRA entry: record_supplier_transaction Shiv wale bhatte 12000.0</t>
  </si>
  <si>
    <t xml:space="preserve">SUP-B-02</t>
  </si>
  <si>
    <t xml:space="preserve">Balaji wale bhatte se dedh hazaar eent utri gudam pe, 6500 ka hazaar rate</t>
  </si>
  <si>
    <t xml:space="preserve">बालाजी वाले भट्टे से डेढ़ हज़ार ईंट उतरी गोदाम पे, 6500 का हज़ार रेट</t>
  </si>
  <si>
    <t xml:space="preserve">One and a half thousand bricks from Balaji kiln unloaded at the warehouse, rate 6500 per thousand</t>
  </si>
  <si>
    <t xml:space="preserve">supplier_name=Balaji; item_name=eent; quantity=1500; amount=9750; destination_location=gudam; date=T</t>
  </si>
  <si>
    <t xml:space="preserve">Kiln price quoted per thousand bricks (6.5 per brick)</t>
  </si>
  <si>
    <t xml:space="preserve">supplier_transaction(supplier_name=Balaji wale bhatte, item_name=eent, quantity=1500, rate=6500, amount=6500, date=2026-10-06)</t>
  </si>
  <si>
    <t xml:space="preserve">record_supplier_transaction: amount 6500.0≠9750</t>
  </si>
  <si>
    <t xml:space="preserve">supplier_transaction(supplier_name=Balaji wale bhatte, item_name=eent, quantity=1500, rate=6.5, amount=9750, date=2026-10-06)</t>
  </si>
  <si>
    <t xml:space="preserve">SUP-B-03</t>
  </si>
  <si>
    <t xml:space="preserve">Somvaar ko Om bhatte se 3000 eent aayi thi, driver Pappu, 21000 ki</t>
  </si>
  <si>
    <t xml:space="preserve">सोमवार को ओम भट्टे से 3000 ईंट आई थी, ड्राइवर पप्पू, 21000 की</t>
  </si>
  <si>
    <t xml:space="preserve">On Monday 3000 bricks came from Om kiln, driver Pappu, worth 21000</t>
  </si>
  <si>
    <t xml:space="preserve">supplier_name=Om; item_name=eent; quantity=3000; amount=21000; driver_name=Pappu; date=LAST_MONDAY</t>
  </si>
  <si>
    <t xml:space="preserve">Weekday → date</t>
  </si>
  <si>
    <t xml:space="preserve">supplier_transaction(supplier_name=Om bhatte, item_name=eent, quantity=3000, amount=21000, driver_name=Pappu, date=2026-10-05)</t>
  </si>
  <si>
    <t xml:space="preserve">SUP-B-04</t>
  </si>
  <si>
    <t xml:space="preserve">Mahadev reta wale se saman 600 ka aaya, payment kar di</t>
  </si>
  <si>
    <t xml:space="preserve">महादेव रेता वाले से सामान 600 का आया, पेमेंट कर दी</t>
  </si>
  <si>
    <t xml:space="preserve">Goods worth 600 came from Mahadev the sand supplier, payment done</t>
  </si>
  <si>
    <t xml:space="preserve">supplier_name=Mahadev; amount=600; date=T</t>
  </si>
  <si>
    <t xml:space="preserve">User's everyday phrase: 'payment kar di' without an amount = the full amount</t>
  </si>
  <si>
    <t xml:space="preserve">supplier_transaction(supplier_name=Mahadev, item_name=saman, amount=600, date=2026-10-06)</t>
  </si>
  <si>
    <t xml:space="preserve">asked location (destination) → Pata nahi; asked location (Mahadev reta wale) → supplier</t>
  </si>
  <si>
    <t xml:space="preserve">supplier_payment(supplier_name=Mahadev, amount=600, date=2026-10-06)</t>
  </si>
  <si>
    <t xml:space="preserve">SUP-B-05</t>
  </si>
  <si>
    <t xml:space="preserve">Chauhan ji ke plot pe Balaji bhatte se seedhi 1000 eent gayi 9 ke bhav, Ram driver</t>
  </si>
  <si>
    <t xml:space="preserve">चौहान जी के प्लॉट पे बालाजी भट्टे से सीधी 1000 ईंट गई 9 के भाव, राम ड्राइवर</t>
  </si>
  <si>
    <t xml:space="preserve">1000 bricks went straight from Balaji kiln to Chauhan ji's plot at 9 each, Ram drove</t>
  </si>
  <si>
    <t xml:space="preserve">supplier_name=Balaji; item_name=eent; quantity=1000; driver_name=Ram; date=T</t>
  </si>
  <si>
    <t xml:space="preserve">Reversed order: customer first, kiln later</t>
  </si>
  <si>
    <t xml:space="preserve">supplier_transaction(customer_name=Chauhan ji, supplier_name=Balaji bhatte, item_name=eent, quantity=1000, unit=piece, rate=9, amount=9000, driver_name=Ram, date=2026-10-06)</t>
  </si>
  <si>
    <t xml:space="preserve">supplier_transaction(customer_name=Chauhan ji, supplier_name=Balaji bhatte, item_name=eent, quantity=1000, rate=9, amount=9000, driver_name=Ram, note=seedhi, date=2026-10-06)</t>
  </si>
  <si>
    <t xml:space="preserve">customer_name=Chauhan ji; item_name=eent; quantity=1000; rate=9; amount=9000; update_inventory=False; date=T</t>
  </si>
  <si>
    <t xml:space="preserve">sale_transaction(customer_name=Chauhan ji, supplier_name=Balaji bhatte, item_name=eent, quantity=1000, unit=piece, rate=9, amount=9000, driver_name=Ram, source=Balaji bhatte, date=2026-10-06)</t>
  </si>
  <si>
    <t xml:space="preserve">SUP-B-06</t>
  </si>
  <si>
    <t xml:space="preserve">ganpti bhate se 2500 int shop pe aai, 17500 ki, sonu laya</t>
  </si>
  <si>
    <t xml:space="preserve">गणप्ति भट्टे से 2500 इंट दुकान पे आई, 17500 की, सोनू लाया</t>
  </si>
  <si>
    <t xml:space="preserve">2500 brcks came from ganpti kiln to the shop, 17500, sonu brought them</t>
  </si>
  <si>
    <t xml:space="preserve">supplier_name=Ganpati; item_name=eent; quantity=2500; amount=17500; destination_location=shop; driver_name=Sonu; date=T</t>
  </si>
  <si>
    <t xml:space="preserve">Typos in name, item and verb</t>
  </si>
  <si>
    <t xml:space="preserve">supplier_transaction(supplier_name=Ganpti bhate, item_name=int, quantity=2500, amount=17500, driver_name=Sonu, date=2026-10-06)</t>
  </si>
  <si>
    <t xml:space="preserve">supplier_transaction(supplier_name=ganpti bhate, item_name=int, quantity=2500, amount=17500, driver_name=sonu, date=2026-10-06)</t>
  </si>
  <si>
    <t xml:space="preserve">SUP-B-07</t>
  </si>
  <si>
    <t xml:space="preserve">Mahadev reta wale se 3 trolley reta aaya 2400 ka trolley, Bunty driver</t>
  </si>
  <si>
    <t xml:space="preserve">महादेव रेता वाले से 3 ट्रॉली रेता आया 2400 की ट्रॉली, बंटी ड्राइवर</t>
  </si>
  <si>
    <t xml:space="preserve">3 trolleys of sand came from Mahadev at 2400 a trolley, Bunty drove</t>
  </si>
  <si>
    <t xml:space="preserve">supplier_name=Mahadev; item_name=reta; quantity=3; unit=trolley; rate=2400; amount=7200; driver_name=Bunty; date=T</t>
  </si>
  <si>
    <t xml:space="preserve">Rate per trolley</t>
  </si>
  <si>
    <t xml:space="preserve">supplier_transaction(supplier_name=Mahadev, item_name=reta, quantity=3, unit=trolley, rate=2400, amount=7200, driver_name=Bunty, date=2026-10-06)</t>
  </si>
  <si>
    <t xml:space="preserve">SUP-B-08</t>
  </si>
  <si>
    <t xml:space="preserve">Krishna bhatte ka 14000 ka bill aaya, aadha de diya</t>
  </si>
  <si>
    <t xml:space="preserve">कृष्णा भट्टे का 14000 का बिल आया, आधा दे दिया</t>
  </si>
  <si>
    <t xml:space="preserve">Krishna kiln's bill of 14000 came, paid half</t>
  </si>
  <si>
    <t xml:space="preserve">supplier_name=Krishna; amount=14000; date=T</t>
  </si>
  <si>
    <t xml:space="preserve">'aadha' = compute half of the bill</t>
  </si>
  <si>
    <t xml:space="preserve">supplier_transaction(supplier_name=Krishna bhatta, amount=14000, date=2026-10-06)</t>
  </si>
  <si>
    <t xml:space="preserve">supplier_name=Krishna; amount=7000; date=T</t>
  </si>
  <si>
    <t xml:space="preserve">supplier_payment(supplier_name=Krishna bhatta, amount=0.5, date=2026-10-06)</t>
  </si>
  <si>
    <t xml:space="preserve">EXTRA entry: record_expense  14000.0</t>
  </si>
  <si>
    <t xml:space="preserve">SUP-B-09</t>
  </si>
  <si>
    <t xml:space="preserve">Shiv bhatte se pichle hafte wali 3000 eent ke 18000 aaj chuka diye</t>
  </si>
  <si>
    <t xml:space="preserve">शिव भट्टे से पिछले हफ्ते वाली 3000 ईंट के 18000 आज चुका दिए</t>
  </si>
  <si>
    <t xml:space="preserve">Paid Shiv kiln 18000 today for last week's 3000 bricks</t>
  </si>
  <si>
    <t xml:space="preserve">supplier_name=Shiv; amount=18000; date=T</t>
  </si>
  <si>
    <t xml:space="preserve">Old purchase only referenced — must NOT create a new purchase</t>
  </si>
  <si>
    <t xml:space="preserve">supplier_payment(supplier_name=Shiv bhatte, amount=18000, note=pichle hafte wali 3000 eent ke, date=2026-10-06)</t>
  </si>
  <si>
    <t xml:space="preserve">supplier_payment(supplier_name=Shiv bhatta, amount=18000, note=pichle hafte wali 3000 eent ke, date=2026-10-06)</t>
  </si>
  <si>
    <t xml:space="preserve">SUP-B-10</t>
  </si>
  <si>
    <t xml:space="preserve">sbi bhate se 3000 eent aai driver golu tha shiv nagar clony main ravi verma k utri, aai 20000 main payment ho gai bhate ki, ravi ji ne bhi de diye</t>
  </si>
  <si>
    <t xml:space="preserve">एसबीआई भट्टे से 3000 ईंट आई ड्राइवर गोलू था शिव नगर कॉलोनी में रवि वर्मा के उतरी, आई 20000 में पेमेंट हो गई भट्टे की, रवि जी ने भी दे दिए</t>
  </si>
  <si>
    <t xml:space="preserve">3000 bricks came from SBI Bhatta, driver Golu, unloaded at Ravi Verma's in Shiv Nagar colony, cost 20000 and the kiln is paid, Ravi ji also paid</t>
  </si>
  <si>
    <t xml:space="preserve">supplier_name=SBI Bhatta; item_name=eent; quantity=3000; amount=20000; driver_name=Golu; date=T</t>
  </si>
  <si>
    <t xml:space="preserve">User's everyday sentence: 20000 is the kiln price (decided with the user); sale price unknown → ask</t>
  </si>
  <si>
    <t xml:space="preserve">asked location (shiv nagar colony) → stopped</t>
  </si>
  <si>
    <t xml:space="preserve">supplier_transaction(supplier_name=SBI Bhatta, item_name=eent, quantity=3000, amount=20000, driver_name=golu, date=2026-10-06)</t>
  </si>
  <si>
    <t xml:space="preserve">supplier_name=SBI Bhatta; amount=20000; date=T</t>
  </si>
  <si>
    <t xml:space="preserve">supplier_payment(supplier_name=SBI Bhatta, amount=20000, date=2026-10-06)</t>
  </si>
  <si>
    <t xml:space="preserve">record_supplier_payment: recorded instead of asking (values guessed)</t>
  </si>
  <si>
    <t xml:space="preserve">customer_name=Ravi Verma; item_name=eent; quantity=3000; update_inventory=False; date=T</t>
  </si>
  <si>
    <t xml:space="preserve">SUP-C-01</t>
  </si>
  <si>
    <t xml:space="preserve">ye saman 600 ka aaya payment kr di</t>
  </si>
  <si>
    <t xml:space="preserve">ये सामान 600 का आया पेमेंट कर दी</t>
  </si>
  <si>
    <t xml:space="preserve">these goods came for 600, payment done</t>
  </si>
  <si>
    <t xml:space="preserve">From whom did it come?</t>
  </si>
  <si>
    <t xml:space="preserve">User's phrase without a supplier — must ask, not record an expense</t>
  </si>
  <si>
    <t xml:space="preserve">expense(amount=600, category=misc, date=2026-10-06); expense_payment(amount=600, date=2026-10-06)</t>
  </si>
  <si>
    <t xml:space="preserve">entry made instead of asking: record_expense, record_expense_payment</t>
  </si>
  <si>
    <t xml:space="preserve">asked via message: samajh nahi aaya</t>
  </si>
  <si>
    <t xml:space="preserve">SUP-C-02</t>
  </si>
  <si>
    <t xml:space="preserve">Gudam mein Om wale bhatte ki 2000 eent pahunch gayi, daam ka bill abhi nahi aaya</t>
  </si>
  <si>
    <t xml:space="preserve">गोदाम में ओम वाले भट्टे की 2000 ईंट पहुँच गई, दाम का बिल अभी नहीं आया</t>
  </si>
  <si>
    <t xml:space="preserve">2000 bricks from Om kiln reached the warehouse, the bill hasn't come yet</t>
  </si>
  <si>
    <t xml:space="preserve">supplier_name=Om; item_name=eent; quantity=2000; destination_location=gudam; date=T</t>
  </si>
  <si>
    <t xml:space="preserve">Supplier known, price later — record without an amount, do not ask, do not invent</t>
  </si>
  <si>
    <t xml:space="preserve">supplier_transaction(supplier_name=Om wale bhatte, item_name=eent, quantity=2000, date=2026-10-06)</t>
  </si>
  <si>
    <t xml:space="preserve">SUP-C-03</t>
  </si>
  <si>
    <t xml:space="preserve">Balaji bhatte ko 200 tooti eent wapas bheji, 1400 kam honge</t>
  </si>
  <si>
    <t xml:space="preserve">बालाजी भट्टे को 200 टूटी ईंट वापस भेजी, 1400 कम होंगे</t>
  </si>
  <si>
    <t xml:space="preserve">Sent 200 broken bricks back to Balaji kiln, 1400 to be reduced</t>
  </si>
  <si>
    <t xml:space="preserve">supplier_name=Balaji; item_name=eent; quantity=-200; amount=-1400; date=T</t>
  </si>
  <si>
    <t xml:space="preserve">Return to supplier — negative quantity and amount</t>
  </si>
  <si>
    <t xml:space="preserve">asked location (source) → Pata nahi; asked location (Balaji bhatte) → supplier</t>
  </si>
  <si>
    <t xml:space="preserve">supplier_transaction(supplier_name=Balaji bhata, item_name=tooti eent, quantity=-200, amount=-1400, note=wapas bheji, date=2026-10-06)</t>
  </si>
  <si>
    <t xml:space="preserve">SUP-C-04</t>
  </si>
  <si>
    <t xml:space="preserve">Krishna bhatte ko 5000 bheje, nahi nahi 6000 the</t>
  </si>
  <si>
    <t xml:space="preserve">कृष्णा भट्टे को 5000 भेजे, नहीं नहीं 6000 थे</t>
  </si>
  <si>
    <t xml:space="preserve">Sent 5000 to Krishna kiln, no no, it was 6000</t>
  </si>
  <si>
    <t xml:space="preserve">supplier_name=Krishna; amount=6000; date=T</t>
  </si>
  <si>
    <t xml:space="preserve">Self-correction — exactly ONE payment of 6000</t>
  </si>
  <si>
    <t xml:space="preserve">supplier_payment(supplier_name=Krishna bhatta, amount=6000, date=2026-10-06)</t>
  </si>
  <si>
    <t xml:space="preserve">supplier_payment(supplier_name=Krishna bhatte, amount=6000, date=2026-10-06)</t>
  </si>
  <si>
    <t xml:space="preserve">SUP-C-05</t>
  </si>
  <si>
    <t xml:space="preserve">Parso tak Mahadev reta wale ko 10000 de denge</t>
  </si>
  <si>
    <t xml:space="preserve">परसों तक महादेव रेता वाले को 10000 दे देंगे</t>
  </si>
  <si>
    <t xml:space="preserve">Will pay Mahadev the sand supplier 10000 by the day after tomorrow</t>
  </si>
  <si>
    <t xml:space="preserve">SUP-C-06</t>
  </si>
  <si>
    <t xml:space="preserve">Durga bhatte wale ka hisab dikhao, kitna bacha hai unka</t>
  </si>
  <si>
    <t xml:space="preserve">दुर्गा भट्टे वाले का हिसाब दिखाओ, कितना बचा है उनका</t>
  </si>
  <si>
    <t xml:space="preserve">Show Durga kiln's account, how much is left</t>
  </si>
  <si>
    <t xml:space="preserve">no entry (route=report)</t>
  </si>
  <si>
    <t xml:space="preserve">SUP-C-07</t>
  </si>
  <si>
    <t xml:space="preserve">Ganpati bhatte ke 8000 purane chadhe hue hain humare upar</t>
  </si>
  <si>
    <t xml:space="preserve">गणपति भट्टे के 8000 पुराने चढ़े हुए हैं हमारे ऊपर</t>
  </si>
  <si>
    <t xml:space="preserve">We owe Ganpati kiln 8000 from before</t>
  </si>
  <si>
    <t xml:space="preserve">party_name=Ganpati; amount=8000; direction=dena</t>
  </si>
  <si>
    <t xml:space="preserve">Old balance WE owe ('chadhe hue hain humare upar')</t>
  </si>
  <si>
    <t xml:space="preserve">record_opening_balance: no entry, no question (route=accounting)</t>
  </si>
  <si>
    <t xml:space="preserve">opening_balance(party_name=Ganpati bhatte, amount=8000, direction=dena, note=purane chadhe hue hain humare upar, date=2026-10-06)</t>
  </si>
  <si>
    <t xml:space="preserve">SUP-C-08</t>
  </si>
  <si>
    <t xml:space="preserve">Shiv bhatte ko 20 hazaar pehle de aaye, maal agle hafte bhejenge wo</t>
  </si>
  <si>
    <t xml:space="preserve">शिव भट्टे को 20 हज़ार पहले दे आए, माल अगले हफ्ते भेजेंगे वो</t>
  </si>
  <si>
    <t xml:space="preserve">Paid Shiv kiln 20 thousand in advance, they will send the goods next week</t>
  </si>
  <si>
    <t xml:space="preserve">supplier_name=Shiv; amount=20000; date=T</t>
  </si>
  <si>
    <t xml:space="preserve">Advance paid TODAY (unlike customer D-08) — payment yes, goods no</t>
  </si>
  <si>
    <t xml:space="preserve">asked location (source) → Pata nahi; asked location (Shiv bhatte) → supplier</t>
  </si>
  <si>
    <t xml:space="preserve">supplier_payment(supplier_name=Shiv bhatta, amount=20000, note=pehle de aaye, date=2026-10-06)</t>
  </si>
  <si>
    <t xml:space="preserve">SUP-C-09</t>
  </si>
  <si>
    <t xml:space="preserve">Pawan ko 3000 thama aaye</t>
  </si>
  <si>
    <t xml:space="preserve">पवन को 3000 थमा आए</t>
  </si>
  <si>
    <t xml:space="preserve">Handed Pawan 3000</t>
  </si>
  <si>
    <t xml:space="preserve">supplier_name=Pawan; amount=3000; date=T</t>
  </si>
  <si>
    <t xml:space="preserve">Unknown person — role question decides</t>
  </si>
  <si>
    <t xml:space="preserve">supplier_payment(supplier_name=Pawan, amount=3000, date=2026-10-06)</t>
  </si>
  <si>
    <t xml:space="preserve">EXTRA entry: record_supplier_transaction Pawan </t>
  </si>
  <si>
    <t xml:space="preserve">SUP-C-10</t>
  </si>
  <si>
    <t xml:space="preserve">Laxmi bhatta 5000 eent bhej gaya, 6 lagaye eent ke, gaadi Bunty ki thi</t>
  </si>
  <si>
    <t xml:space="preserve">लक्ष्मी भट्टा 5000 ईंट भेज गया, 6 लगाए ईंट के, गाड़ी बंटी की थी</t>
  </si>
  <si>
    <t xml:space="preserve">Laxmi kiln sent 5000 bricks, charged 6 per brick, Bunty's truck</t>
  </si>
  <si>
    <t xml:space="preserve">supplier_name=Laxmi; item_name=eent; quantity=5000; rate=6; amount=30000; driver_name=Bunty; date=T</t>
  </si>
  <si>
    <t xml:space="preserve">Small number is the RATE; 'gaadi Bunty ki thi' = driver</t>
  </si>
  <si>
    <t xml:space="preserve">supplier_transaction(supplier_name=Laxmi bhatta, item_name=eent, quantity=5000, rate=6, amount=30000, driver_name=Bunty, date=2026-10-06)</t>
  </si>
  <si>
    <t xml:space="preserve">SUP-D-01</t>
  </si>
  <si>
    <t xml:space="preserve">Agarwal traders se 50 kilo cheeni thok mein aayi 2100 ki</t>
  </si>
  <si>
    <t xml:space="preserve">अग्रवाल ट्रेडर्स से 50 किलो चीनी थोक में आई 2100 की</t>
  </si>
  <si>
    <t xml:space="preserve">50 kg sugar came wholesale from Agarwal Traders for 2100</t>
  </si>
  <si>
    <t xml:space="preserve">supplier_name=Agarwal Traders; item_name=cheeni; quantity=50; unit=kg; amount=2100; date=T</t>
  </si>
  <si>
    <t xml:space="preserve">Grocery wholesale</t>
  </si>
  <si>
    <t xml:space="preserve">supplier_transaction(supplier_name=Agarwal traders, item_name=cheeni, quantity=50, unit=kg, amount=2100, note=thok mein aayi, date=2026-10-06)</t>
  </si>
  <si>
    <t xml:space="preserve">SUP-D-02</t>
  </si>
  <si>
    <t xml:space="preserve">Gopal dairy wale se 40 litre doodh liya 2200 ka, cash diya</t>
  </si>
  <si>
    <t xml:space="preserve">गोपाल डेयरी वाले से 40 लीटर दूध लिया 2200 का, कैश दिया</t>
  </si>
  <si>
    <t xml:space="preserve">Bought 40 litres of milk from Gopal dairy for 2200, paid cash</t>
  </si>
  <si>
    <t xml:space="preserve">supplier_name=Gopal; item_name=doodh; quantity=40; unit=litre; amount=2200; date=T</t>
  </si>
  <si>
    <t xml:space="preserve">Dairy; 'cash diya' = full amount paid</t>
  </si>
  <si>
    <t xml:space="preserve">asked location (destination) → Pata nahi; asked location (Gopal dairy wale) → supplier; asked employee_name, amount (employee_transaction)</t>
  </si>
  <si>
    <t xml:space="preserve">record_supplier_transaction: asked missing_argument:record_employee_transaction ['employee_name', 'amount']</t>
  </si>
  <si>
    <t xml:space="preserve">supplier_transaction(supplier_name=Gopal, item_name=doodh, quantity=40, unit=litre, amount=2200, date=2026-10-06)</t>
  </si>
  <si>
    <t xml:space="preserve">supplier_name=Gopal; amount=2200; date=T</t>
  </si>
  <si>
    <t xml:space="preserve">record_supplier_payment: asked missing_argument:record_employee_transaction ['employee_name', 'amount']</t>
  </si>
  <si>
    <t xml:space="preserve">supplier_payment(supplier_name=Gopal, amount=2200, date=2026-10-06)</t>
  </si>
  <si>
    <t xml:space="preserve">SUP-D-03</t>
  </si>
  <si>
    <t xml:space="preserve">UltraTech ke dealer Bansal se 100 bori cement aayi 360 ki bori, truck Jaggi chala raha tha</t>
  </si>
  <si>
    <t xml:space="preserve">अल्ट्राटेक के डीलर बंसल से 100 बोरी सीमेंट आई 360 की बोरी, ट्रक जग्गी चला रहा था</t>
  </si>
  <si>
    <t xml:space="preserve">100 bags of cement came from Bansal, the UltraTech dealer, at 360 a bag, Jaggi drove the truck</t>
  </si>
  <si>
    <t xml:space="preserve">supplier_name=Bansal; item_name=cement; quantity=100; unit=bag; rate=360; amount=36000; driver_name=Jaggi; date=T</t>
  </si>
  <si>
    <t xml:space="preserve">Hardware; the brand (UltraTech) is not the supplier</t>
  </si>
  <si>
    <t xml:space="preserve">asked location (destination) → Pata nahi; asked location (UltraTech ke dealer Bansal) → stopped</t>
  </si>
  <si>
    <t xml:space="preserve">supplier_transaction(supplier_name=Bansal, item_name=cement, quantity=100, unit=bag, rate=360, amount=36000, driver_name=Jaggi, note=UltraTech ke dealer, date=2026-10-06)</t>
  </si>
  <si>
    <t xml:space="preserve">SUP-D-04</t>
  </si>
  <si>
    <t xml:space="preserve">Kajaria wale Mittal ji se 500 sqft tile aayi 38 rupaye sqft, aadhe paise de diye</t>
  </si>
  <si>
    <t xml:space="preserve">काजरिया वाले मित्तल जी से 500 स्क्वायर फीट टाइल आई 38 रुपये स्क्वायर फीट, आधे पैसे दे दिए</t>
  </si>
  <si>
    <t xml:space="preserve">500 sqft of tiles came from Mittal ji, the Kajaria dealer, at 38 per sqft, paid half</t>
  </si>
  <si>
    <t xml:space="preserve">supplier_name=Mittal ji; item_name=tile; quantity=500; unit=sqft; rate=38; amount=19000; date=T</t>
  </si>
  <si>
    <t xml:space="preserve">Tiles; half payment</t>
  </si>
  <si>
    <t xml:space="preserve">asked location (destination) → Pata nahi; asked location (Kajaria wale Mittal ji) → stopped</t>
  </si>
  <si>
    <t xml:space="preserve">supplier_transaction(supplier_name=Mittal ji, item_name=tile, quantity=500, unit=sqft, rate=38, amount=19000, note=Kajaria wale, date=2026-10-06)</t>
  </si>
  <si>
    <t xml:space="preserve">supplier_name=Mittal ji; amount=9500; date=T</t>
  </si>
  <si>
    <t xml:space="preserve">record_supplier_payment: asked material_movement:LOCATION_TYPE_CONFIRMATION </t>
  </si>
  <si>
    <t xml:space="preserve">supplier_payment(supplier_name=Mittal ji, amount=9500, note=aadhe paise de diye; Kajaria wale, date=2026-10-06)</t>
  </si>
  <si>
    <t xml:space="preserve">SUP-D-05</t>
  </si>
  <si>
    <t xml:space="preserve">Asian paint ke dealer Khanna se 10 tin paint aaye 1600 ka tin</t>
  </si>
  <si>
    <t xml:space="preserve">एशियन पेंट के डीलर खन्ना से 10 टिन पेंट आए 1600 का टिन</t>
  </si>
  <si>
    <t xml:space="preserve">10 tins of paint came from Khanna, the Asian Paints dealer, at 1600 a tin</t>
  </si>
  <si>
    <t xml:space="preserve">supplier_name=Khanna; item_name=paint; quantity=10; unit=tin; rate=1600; amount=16000; date=T</t>
  </si>
  <si>
    <t xml:space="preserve">Paint; brand ≠ supplier</t>
  </si>
  <si>
    <t xml:space="preserve">asked location (destination) → Pata nahi; asked location (Asian paint ke dealer Khanna) → stopped</t>
  </si>
  <si>
    <t xml:space="preserve">supplier_transaction(supplier_name=Khanna, item_name=paint, quantity=10, unit=tin, rate=1600, amount=16000, note=Asian paint ke dealer, date=2026-10-06)</t>
  </si>
  <si>
    <t xml:space="preserve">SUP-D-06</t>
  </si>
  <si>
    <t xml:space="preserve">Mahesh crusher wale se 2 dumper bajri aayi, 9000 ka dumper</t>
  </si>
  <si>
    <t xml:space="preserve">महेश क्रशर वाले से 2 डंपर बजरी आई, 9000 का डंपर</t>
  </si>
  <si>
    <t xml:space="preserve">2 dumper loads of gravel came from Mahesh's crusher at 9000 a load</t>
  </si>
  <si>
    <t xml:space="preserve">supplier_name=Mahesh; item_name=bajri; quantity=2; rate=9000; amount=18000; date=T</t>
  </si>
  <si>
    <t xml:space="preserve">Crusher; 'dumper' is not a known unit</t>
  </si>
  <si>
    <t xml:space="preserve">supplier_transaction(supplier_name=Mahesh, item_name=bajri, quantity=2, unit=ton, amount=9000, date=2026-10-06)</t>
  </si>
  <si>
    <t xml:space="preserve">record_supplier_transaction: amount 9000.0≠18000; rate 0.0≠9000</t>
  </si>
  <si>
    <t xml:space="preserve">supplier_transaction(supplier_name=Mahesh, item_name=bajri, quantity=2, unit=trolley, amount=9000, date=2026-10-06)</t>
  </si>
  <si>
    <t xml:space="preserve">SUP-D-07</t>
  </si>
  <si>
    <t xml:space="preserve">Saharanpur ke Irfan bhai se 4 almari aayi 32000 ki, transport Rinku ka tha</t>
  </si>
  <si>
    <t xml:space="preserve">सहारनपुर के इरफान भाई से 4 अलमारी आई 32000 की, ट्रांसपोर्ट रिंकू का था</t>
  </si>
  <si>
    <t xml:space="preserve">4 cupboards came from Irfan bhai of Saharanpur for 32000, Rinku did the transport</t>
  </si>
  <si>
    <t xml:space="preserve">supplier_name=Irfan; item_name=almari; quantity=4; amount=32000; driver_name=Rinku; date=T</t>
  </si>
  <si>
    <t xml:space="preserve">Furniture; the city is not the name</t>
  </si>
  <si>
    <t xml:space="preserve">asked location (destination) → Pata nahi; asked location (Saharanpur ke Irfan bhai) → stopped</t>
  </si>
  <si>
    <t xml:space="preserve">supplier_transaction(supplier_name=Irfan bhai, item_name=almari, quantity=4, amount=32000, driver_name=Rinku, note=Saharanpur ke, date=2026-10-06)</t>
  </si>
  <si>
    <t xml:space="preserve">SUP-D-08</t>
  </si>
  <si>
    <t xml:space="preserve">Ludhiana ki Gill mills se 200 meter kapda aaya 150 rupaye meter</t>
  </si>
  <si>
    <t xml:space="preserve">लुधियाना की गिल मिल्स से 200 मीटर कपड़ा आया 150 रुपये मीटर</t>
  </si>
  <si>
    <t xml:space="preserve">200 metres of cloth came from Gill Mills in Ludhiana at 150 a metre</t>
  </si>
  <si>
    <t xml:space="preserve">supplier_name=Gill Mills; item_name=kapda; quantity=200; rate=150; amount=30000; date=T</t>
  </si>
  <si>
    <t xml:space="preserve">Cloth mill; 'meter' is not a known unit</t>
  </si>
  <si>
    <t xml:space="preserve">supplier_transaction(supplier_name=Ludhiana ki Gill mills, item_name=kapda, quantity=200, unit=piece, rate=150, amount=30000, date=2026-10-06)</t>
  </si>
  <si>
    <t xml:space="preserve">record_supplier_transaction: person Ludhiana ki Gill mills≠Gill Mills</t>
  </si>
  <si>
    <t xml:space="preserve">supplier_transaction(supplier_name=Gill mills, item_name=kapda, quantity=200, unit=piece, rate=150, amount=30000, note=Ludhiana ki, date=2026-10-06)</t>
  </si>
  <si>
    <t xml:space="preserve">SUP-D-09</t>
  </si>
  <si>
    <t xml:space="preserve">Mandi mein Sethi ji se 5 bori aloo li 900 ki bori, Pappu tempo laya</t>
  </si>
  <si>
    <t xml:space="preserve">मंडी में सेठी जी से 5 बोरी आलू ली 900 की बोरी, पप्पू टेंपो लाया</t>
  </si>
  <si>
    <t xml:space="preserve">Bought 5 sacks of potatoes from Sethi ji at the mandi at 900 a sack, Pappu brought the tempo</t>
  </si>
  <si>
    <t xml:space="preserve">supplier_name=Sethi ji; item_name=aloo; quantity=5; unit=bag; rate=900; amount=4500; driver_name=Pappu; date=T</t>
  </si>
  <si>
    <t xml:space="preserve">Vegetable market; 'li' = bought here</t>
  </si>
  <si>
    <t xml:space="preserve">asked location (source) → Pata nahi; asked location (Mandi) → stopped</t>
  </si>
  <si>
    <t xml:space="preserve">supplier_transaction(supplier_name=Sethi ji, item_name=aloo, quantity=5, unit=bag, rate=900, amount=4500, driver_name=Pappu, note=Mandi mein, date=2026-10-06)</t>
  </si>
  <si>
    <t xml:space="preserve">SUP-D-10</t>
  </si>
  <si>
    <t xml:space="preserve">Purani building wale Thakur sahab se 2 ton loha khareeda 32 rupaye kilo</t>
  </si>
  <si>
    <t xml:space="preserve">पुरानी बिल्डिंग वाले ठाकुर साहब से 2 टन लोहा खरीदा 32 रुपये किलो</t>
  </si>
  <si>
    <t xml:space="preserve">Bought 2 tons of iron from Thakur sahab of the old building at 32 rupees a kilo</t>
  </si>
  <si>
    <t xml:space="preserve">supplier_name=Thakur sahab; item_name=loha; quantity=2; unit=ton; amount=64000; date=T</t>
  </si>
  <si>
    <t xml:space="preserve">Salvage purchase; ton × rate per kilo (2 ton = 2000 kg)</t>
  </si>
  <si>
    <t xml:space="preserve">supplier_transaction(supplier_name=Purani building wale Thakur sahab, item_name=loha, quantity=2000, unit=kg, rate=32, amount=64000, date=2026-10-06)</t>
  </si>
  <si>
    <t xml:space="preserve">record_supplier_transaction: person Purani building wale Thakur sahab≠Thakur sahab</t>
  </si>
  <si>
    <t xml:space="preserve">supplier_transaction(supplier_name=Thakur sahab, item_name=loha, quantity=2000, unit=ton, rate=32, amount=64000, note=Purani building wale, date=2026-10-06)</t>
  </si>
  <si>
    <t xml:space="preserve">record_supplier_transaction: quantity 2000.0≠2</t>
  </si>
  <si>
    <t xml:space="preserve">SUP-E-01</t>
  </si>
  <si>
    <t xml:space="preserve">Shiv bhatte se 3000 eent gudam aayi 21000 ki, driver Kitanu ko 300 diye</t>
  </si>
  <si>
    <t xml:space="preserve">शिव भट्टे से 3000 ईंट गोदाम आई 21000 की, ड्राइवर कितनू को 300 दिए</t>
  </si>
  <si>
    <t xml:space="preserve">3000 bricks came from Shiv kiln to the warehouse for 21000, paid driver Kitanu 300</t>
  </si>
  <si>
    <t xml:space="preserve">supplier_name=Shiv; item_name=eent; quantity=3000; amount=21000; driver_name=Kitanu; date=T</t>
  </si>
  <si>
    <t xml:space="preserve">Purchase + the driver's payment</t>
  </si>
  <si>
    <t xml:space="preserve">supplier_transaction(supplier_name=Shiv bhatte, item_name=eent, quantity=3000, amount=21000, driver_name=Kitanu, date=2026-10-06)</t>
  </si>
  <si>
    <t xml:space="preserve">asked location (Shiv bhatte) → supplier</t>
  </si>
  <si>
    <t xml:space="preserve">employee_transaction(employee_name=Kitanu, transaction_type=payment, amount=300, date=2026-10-06)</t>
  </si>
  <si>
    <t xml:space="preserve">SUP-E-02</t>
  </si>
  <si>
    <t xml:space="preserve">Balaji bhatte wale ka 15000 chuka diya, idhar Sharma ji ne 9000 bheje</t>
  </si>
  <si>
    <t xml:space="preserve">बालाजी भट्टे वाले का 15000 चुका दिया, इधर शर्मा जी ने 9000 भेजे</t>
  </si>
  <si>
    <t xml:space="preserve">Paid Balaji kiln 15000, and Sharma ji sent 9000</t>
  </si>
  <si>
    <t xml:space="preserve">supplier_name=Balaji; amount=15000; date=T</t>
  </si>
  <si>
    <t xml:space="preserve">Money out (supplier) + money in (customer)</t>
  </si>
  <si>
    <t xml:space="preserve">asked location (source) → Pata nahi; asked location (Balaji bhatte wale) → supplier; asked location, item_name (adjustment)</t>
  </si>
  <si>
    <t xml:space="preserve">record_supplier_payment: asked missing_argument:record_adjustment ['location', 'item_name']</t>
  </si>
  <si>
    <t xml:space="preserve">supplier_payment(supplier_name=Balaji, amount=15000, date=2026-10-06)</t>
  </si>
  <si>
    <t xml:space="preserve">customer_name=Sharma ji; amount=9000; date=T</t>
  </si>
  <si>
    <t xml:space="preserve">record_sale_payment: asked missing_argument:record_adjustment ['location', 'item_name']</t>
  </si>
  <si>
    <t xml:space="preserve">sale_payment(customer_name=Sharma ji, amount=9000, date=2026-10-06)</t>
  </si>
  <si>
    <t xml:space="preserve">SUP-E-03</t>
  </si>
  <si>
    <t xml:space="preserve">Om bhatte se 2000 eent seedhi Yadav ji ke plot pe utri 18000 ki, Ram aur Sohan ne utaari, dono ko 200-200 diye</t>
  </si>
  <si>
    <t xml:space="preserve">ओम भट्टे से 2000 ईंट सीधी यादव जी के प्लॉट पे उतरी 18000 की, राम और सोहन ने उतारी, दोनों को 200-200 दिए</t>
  </si>
  <si>
    <t xml:space="preserve">2000 bricks from Om kiln unloaded straight at Yadav ji's plot for 18000, Ram and Sohan unloaded them, paid both 200 each</t>
  </si>
  <si>
    <t xml:space="preserve">Direct sale + '200-200' to each worker</t>
  </si>
  <si>
    <t xml:space="preserve">supplier_transaction(customer_name=Yadav ji, supplier_name=Om bhatte, item_name=eent, quantity=2000, amount=18000, driver_name=Ram, date=2026-10-06)</t>
  </si>
  <si>
    <t xml:space="preserve">supplier_transaction(customer_name=Yadav ji, supplier_name=Om bhatte, item_name=eent, quantity=2000, amount=18000, date=2026-10-06)</t>
  </si>
  <si>
    <t xml:space="preserve">customer_name=Yadav ji; item_name=eent; quantity=2000; amount=18000; update_inventory=False; date=T</t>
  </si>
  <si>
    <t xml:space="preserve">sale_transaction(customer_name=Yadav ji, supplier_name=Om bhatte, item_name=eent, quantity=2000, amount=18000, driver_name=Ram, source=Om bhatte, note=Sohan ne utaari, date=2026-10-06)</t>
  </si>
  <si>
    <t xml:space="preserve">sale_transaction(customer_name=Yadav ji, supplier_name=Om bhatte, item_name=eent, quantity=2000, amount=18000, source=Om bhatte, note=seedhi, date=2026-10-06)</t>
  </si>
  <si>
    <t xml:space="preserve">employee_name=Ram; transaction_type=payment; amount=200; date=T</t>
  </si>
  <si>
    <t xml:space="preserve">employee_transaction(employee_name=Ram, transaction_type=payment, amount=200, date=2026-10-06)</t>
  </si>
  <si>
    <t xml:space="preserve">employee_name=Sohan; transaction_type=payment; amount=200; date=T</t>
  </si>
  <si>
    <t xml:space="preserve">employee_transaction(employee_name=Sohan, transaction_type=payment, amount=200, date=2026-10-06)</t>
  </si>
  <si>
    <t xml:space="preserve">SUP-E-04</t>
  </si>
  <si>
    <t xml:space="preserve">Gudam se 1000 eent shop pe bheji aur Krishna bhatte se 3000 nayi gudam mein aayi 21000 ki</t>
  </si>
  <si>
    <t xml:space="preserve">गोदाम से 1000 ईंट दुकान पे भेजी और कृष्णा भट्टे से 3000 नई गोदाम में आई 21000 की</t>
  </si>
  <si>
    <t xml:space="preserve">Sent 1000 bricks from the warehouse to the shop, and 3000 new bricks came from Krishna kiln to the warehouse for 21000</t>
  </si>
  <si>
    <t xml:space="preserve">item_name=eent; quantity=1000; source_name=gudam; destination_name=shop; date=T</t>
  </si>
  <si>
    <t xml:space="preserve">Two material movements in one statement (internal + purchase)</t>
  </si>
  <si>
    <t xml:space="preserve">material_movement(item_name=eent, quantity=1000, date=2026-10-06)</t>
  </si>
  <si>
    <t xml:space="preserve">supplier_name=Krishna; item_name=eent; quantity=3000; amount=21000; destination_location=gudam; date=T</t>
  </si>
  <si>
    <t xml:space="preserve">supplier_transaction(supplier_name=Krishna bhatte, item_name=nayi, quantity=3000, amount=21000, date=2026-10-06)</t>
  </si>
  <si>
    <t xml:space="preserve">supplier_transaction(supplier_name=Krishna bhatte, item_name=eent, quantity=3000, unit=bag, amount=21000, date=2026-10-06)</t>
  </si>
  <si>
    <t xml:space="preserve">SUP-E-05</t>
  </si>
  <si>
    <t xml:space="preserve">Mahadev reta wale se 2 trolley reta aaya 4800 ka, tractor mein 600 ka diesel dalwaya</t>
  </si>
  <si>
    <t xml:space="preserve">महादेव रेता वाले से 2 ट्रॉली रेता आया 4800 का, ट्रैक्टर में 600 का डीज़ल डलवाया</t>
  </si>
  <si>
    <t xml:space="preserve">2 trolleys of sand came from Mahadev for 4800, put 600 worth of diesel in the tractor</t>
  </si>
  <si>
    <t xml:space="preserve">supplier_name=Mahadev; item_name=reta; quantity=2; unit=trolley; amount=4800; date=T</t>
  </si>
  <si>
    <t xml:space="preserve">Purchase + fuel expense</t>
  </si>
  <si>
    <t xml:space="preserve">supplier_transaction(supplier_name=Mahadev, item_name=reta, quantity=2, unit=trolley, amount=4800, date=2026-10-06)</t>
  </si>
  <si>
    <t xml:space="preserve">amount=600; category=fuel; date=T</t>
  </si>
  <si>
    <t xml:space="preserve">expense(amount=600, category=fuel, note=Tractor mein dalwaya, date=2026-10-06)</t>
  </si>
  <si>
    <t xml:space="preserve">expense(amount=600, category=fuel, date=2026-10-06)</t>
  </si>
  <si>
    <t xml:space="preserve">SUP-E-06</t>
  </si>
  <si>
    <t xml:space="preserve">Aaj Sohan nahi aaya, Ganpati bhatte ko 10000 bhej diye</t>
  </si>
  <si>
    <t xml:space="preserve">आज सोहन नहीं आया, गणपति भट्टे को 10000 भेज दिए</t>
  </si>
  <si>
    <t xml:space="preserve">Sohan didn't come today, sent 10000 to Ganpati kiln</t>
  </si>
  <si>
    <t xml:space="preserve">Attendance + supplier payment</t>
  </si>
  <si>
    <t xml:space="preserve">asked location (source) → Pata nahi; asked location (Ganpati bhatte) → supplier; asked location, item_name (adjustment)</t>
  </si>
  <si>
    <t xml:space="preserve">record_attendance: asked missing_argument:record_adjustment ['location', 'item_name']</t>
  </si>
  <si>
    <t xml:space="preserve">attendance(employee_name=Sohan, attendance=absent, driving=absent, date=2026-10-06)</t>
  </si>
  <si>
    <t xml:space="preserve">supplier_name=Ganpati; amount=10000; date=T</t>
  </si>
  <si>
    <t xml:space="preserve">supplier_payment(supplier_name=Ganpati bhatta, amount=10000, date=2026-10-06)</t>
  </si>
  <si>
    <t xml:space="preserve">SUP-E-07</t>
  </si>
  <si>
    <t xml:space="preserve">Durga bhatte se 4000 eent aayi 28000 ki, unme se 1500 seedhi Saini ji ko 13500 mein di, baaki gudam mein</t>
  </si>
  <si>
    <t xml:space="preserve">दुर्गा भट्टे से 4000 ईंट आई 28000 की, उनमें से 1500 सीधी सैनी जी को 13500 में दी, बाकी गोदाम में</t>
  </si>
  <si>
    <t xml:space="preserve">4000 bricks came from Durga kiln for 28000, 1500 of them went straight to Saini ji for 13500, the rest to the warehouse</t>
  </si>
  <si>
    <t xml:space="preserve">supplier_name=Durga; item_name=eent; quantity=4000; amount=28000; date=T</t>
  </si>
  <si>
    <t xml:space="preserve">One load split: part direct to a customer, the rest into storage</t>
  </si>
  <si>
    <t xml:space="preserve">supplier_transaction(supplier_name=Durga bhatte, item_name=eent, quantity=4000, amount=28000, date=2026-10-06)</t>
  </si>
  <si>
    <t xml:space="preserve">asked location (destination) → Pata nahi; asked location (source) → Pata nahi; asked location (Saini ji) → customer; asked location (Durga bhatte) → supplier; asked item_name (adjustment)</t>
  </si>
  <si>
    <t xml:space="preserve">record_supplier_transaction: asked missing_argument:record_adjustment ['item_name']</t>
  </si>
  <si>
    <t xml:space="preserve">customer_name=Saini ji; item_name=eent; quantity=1500; amount=13500; update_inventory=False; date=T</t>
  </si>
  <si>
    <t xml:space="preserve">sale_transaction(customer_name=Saini ji, item_name=eent, quantity=1500, amount=13500, date=2026-10-06)</t>
  </si>
  <si>
    <t xml:space="preserve">record_sale_transaction: asked missing_argument:record_adjustment ['item_name']</t>
  </si>
  <si>
    <t xml:space="preserve">SUP-E-08</t>
  </si>
  <si>
    <t xml:space="preserve">Papa ne ghar ke liye 2000 liye, Laxmi bhatte ko 5000 de diye</t>
  </si>
  <si>
    <t xml:space="preserve">पापा ने घर के लिए 2000 लिए, लक्ष्मी भट्टे को 5000 दे दिए</t>
  </si>
  <si>
    <t xml:space="preserve">Papa took 2000 for the house, paid Laxmi kiln 5000</t>
  </si>
  <si>
    <t xml:space="preserve">Family kharcha + supplier payment</t>
  </si>
  <si>
    <t xml:space="preserve">family_transaction(member_name=Papa, transaction_type=kharcha, amount=2000, date=2026-10-06)</t>
  </si>
  <si>
    <t xml:space="preserve">supplier_name=Laxmi; amount=5000; date=T</t>
  </si>
  <si>
    <t xml:space="preserve">EXTRA entry: record_family_transaction Laxmi bhatte 5000.0</t>
  </si>
  <si>
    <t xml:space="preserve">supplier_payment(supplier_name=Laxmi bhatta, amount=5000, date=2026-10-06)</t>
  </si>
  <si>
    <t xml:space="preserve">SUP-E-09</t>
  </si>
  <si>
    <t xml:space="preserve">Kal Vishwakarma bhatte se 2500 eent aayi thi 17500 ki, aaj unko 10000 diye</t>
  </si>
  <si>
    <t xml:space="preserve">कल विश्वकर्मा भट्टे से 2500 ईंट आई थी 17500 की, आज उनको 10000 दिए</t>
  </si>
  <si>
    <t xml:space="preserve">Yesterday 2500 bricks came from Vishwakarma kiln for 17500, paid them 10000 today</t>
  </si>
  <si>
    <t xml:space="preserve">supplier_name=Vishwakarma; item_name=eent; quantity=2500; amount=17500; date=T-1</t>
  </si>
  <si>
    <t xml:space="preserve">Two dates — purchase yesterday, payment today</t>
  </si>
  <si>
    <t xml:space="preserve">supplier_transaction(supplier_name=Vishwakarma bhatta, item_name=eent, quantity=2500, amount=17500, date=2026-10-05)</t>
  </si>
  <si>
    <t xml:space="preserve">supplier_transaction(supplier_name=Vishwakarma bhatte, item_name=eent, quantity=2500, amount=17500, date=2026-10-05)</t>
  </si>
  <si>
    <t xml:space="preserve">supplier_name=Vishwakarma; amount=10000; date=T</t>
  </si>
  <si>
    <t xml:space="preserve">supplier_payment(supplier_name=Vishwakarma, amount=10000, date=2026-10-06)</t>
  </si>
  <si>
    <t xml:space="preserve">supplier_payment(supplier_name=Vishwakarma bhatta, amount=10000, date=2026-10-06)</t>
  </si>
  <si>
    <t xml:space="preserve">SUP-E-10</t>
  </si>
  <si>
    <t xml:space="preserve">Rakesh aara wale se 30 fatte lakdi aayi 3600 ki, Kitanu laya, usko 200 diye aur Chauhan ji ne purane 5000 jama karaye</t>
  </si>
  <si>
    <t xml:space="preserve">राकेश आरा वाले से 30 फट्टे लकड़ी आई 3600 की, कितनू लाया, उसको 200 दिए और चौहान जी ने पुराने 5000 जमा कराए</t>
  </si>
  <si>
    <t xml:space="preserve">30 wooden planks came from Rakesh's sawmill for 3600, Kitanu brought them, paid him 200, and Chauhan ji deposited 5000 of old dues</t>
  </si>
  <si>
    <t xml:space="preserve">supplier_name=Rakesh; item_name=lakdi; quantity=30; amount=3600; driver_name=Kitanu; date=T</t>
  </si>
  <si>
    <t xml:space="preserve">Supplier + driver payment + customer receipt; 'usko' = Kitanu</t>
  </si>
  <si>
    <t xml:space="preserve">supplier_transaction(supplier_name=Rakesh, item_name=lakdi, quantity=30, amount=3600, driver_name=Kitanu, date=2026-10-06)</t>
  </si>
  <si>
    <t xml:space="preserve">supplier_transaction(supplier_name=Rakesh, item_name=fatte lakdi, quantity=30, amount=3600, driver_name=Kitanu, date=2026-10-06)</t>
  </si>
  <si>
    <t xml:space="preserve">employee_name=Kitanu; transaction_type=payment; amount=200; date=T</t>
  </si>
  <si>
    <t xml:space="preserve">employee_transaction(employee_name=Kitanu, transaction_type=payment, amount=200, date=2026-10-06)</t>
  </si>
  <si>
    <t xml:space="preserve">asked location (destination) → Pata nahi; asked location (Rakesh aara wale) → supplier</t>
  </si>
  <si>
    <t xml:space="preserve">EXTRA entry: record_supplier_payment Rakesh 200.0</t>
  </si>
  <si>
    <t xml:space="preserve">sale_payment(customer_name=Chauhan ji, amount=5000, note=purane, date=2026-10-06)</t>
  </si>
  <si>
    <t xml:space="preserve">Expense bundle — test cases and results (before vs after fixes)</t>
  </si>
  <si>
    <t xml:space="preserve">Yellow = written and locked before the first run · Green = from the runs. Before = v1 code (baseline 2026-10-06 16:46, Hinglish) · After = the last FULL run of the bundle after the fixes (Hinglish; every test in one run; run id in the After - Run column).</t>
  </si>
  <si>
    <t xml:space="preserve">After = full 50-test run 2026-10-06 17:42, Hinglish.</t>
  </si>
  <si>
    <t xml:space="preserve">EXP-A-01</t>
  </si>
  <si>
    <t xml:space="preserve">Tractor ki tanki full karwayi, 3200 ka diesel</t>
  </si>
  <si>
    <t xml:space="preserve">ट्रैक्टर की टंकी फुल करवाई, 3200 का डीज़ल</t>
  </si>
  <si>
    <t xml:space="preserve">Filled the tractor's tank, diesel for 3200</t>
  </si>
  <si>
    <t xml:space="preserve">category=fuel; amount=3200; description=tractor diesel; date=T</t>
  </si>
  <si>
    <t xml:space="preserve">Daily fuel expense, paid</t>
  </si>
  <si>
    <t xml:space="preserve">expense(amount=3200, category=fuel, note=Tractor ki tanki full karwayi, date=2026-10-06)</t>
  </si>
  <si>
    <t xml:space="preserve">1742</t>
  </si>
  <si>
    <t xml:space="preserve">amount=3200; date=T</t>
  </si>
  <si>
    <t xml:space="preserve">expense_payment(amount=3200, date=2026-10-06)</t>
  </si>
  <si>
    <t xml:space="preserve">EXP-A-02</t>
  </si>
  <si>
    <t xml:space="preserve">Bijli ka bill aaya 1850 ka, PhonePe se bhar diya</t>
  </si>
  <si>
    <t xml:space="preserve">बिजली का बिल आया 1850 का, फोनपे से भर दिया</t>
  </si>
  <si>
    <t xml:space="preserve">Electricity bill of 1850 came, paid it by PhonePe</t>
  </si>
  <si>
    <t xml:space="preserve">category=misc; amount=1850; description=bijli bill; date=T; payment_method=upi</t>
  </si>
  <si>
    <t xml:space="preserve">Utility bill → misc, UPI</t>
  </si>
  <si>
    <t xml:space="preserve">expense(amount=1850, category=misc, date=2026-10-06)</t>
  </si>
  <si>
    <t xml:space="preserve">amount=1850; date=T</t>
  </si>
  <si>
    <t xml:space="preserve">expense_payment(amount=1850, note=PhonePe se bhar diya, date=2026-10-06)</t>
  </si>
  <si>
    <t xml:space="preserve">EXP-A-03</t>
  </si>
  <si>
    <t xml:space="preserve">Shop ka is mahine ka kiraya 6000 de diya</t>
  </si>
  <si>
    <t xml:space="preserve">दुकान का इस महीने का किराया 6000 दे दिया</t>
  </si>
  <si>
    <t xml:space="preserve">Paid this month's shop rent, 6000</t>
  </si>
  <si>
    <t xml:space="preserve">category=rent; amount=6000; description=shop kiraya; date=T</t>
  </si>
  <si>
    <t xml:space="preserve">Rent</t>
  </si>
  <si>
    <t xml:space="preserve">expense(amount=6000, category=rent, date=2026-10-06)</t>
  </si>
  <si>
    <t xml:space="preserve">amount=6000; date=T</t>
  </si>
  <si>
    <t xml:space="preserve">expense_payment(amount=6000, note=is mahine ka, date=2026-10-06)</t>
  </si>
  <si>
    <t xml:space="preserve">EXP-A-04</t>
  </si>
  <si>
    <t xml:space="preserve">Dumper ka tyre puncture tha, 250 lage</t>
  </si>
  <si>
    <t xml:space="preserve">डंपर का टायर पंक्चर था, 250 लगे</t>
  </si>
  <si>
    <t xml:space="preserve">The dumper had a flat tyre, it cost 250</t>
  </si>
  <si>
    <t xml:space="preserve">category=repair; amount=250; description=dumper tyre puncture; date=T</t>
  </si>
  <si>
    <t xml:space="preserve">Small repair</t>
  </si>
  <si>
    <t xml:space="preserve">expense(amount=250, category=repair, date=2026-10-06)</t>
  </si>
  <si>
    <t xml:space="preserve">amount=250; date=T</t>
  </si>
  <si>
    <t xml:space="preserve">expense_payment(amount=250, date=2026-10-06)</t>
  </si>
  <si>
    <t xml:space="preserve">EXP-A-05</t>
  </si>
  <si>
    <t xml:space="preserve">Mazdooron ke liye chai-nashta 180 ka aaya</t>
  </si>
  <si>
    <t xml:space="preserve">मज़दूरों के लिए चाय-नाश्ता 180 का आया</t>
  </si>
  <si>
    <t xml:space="preserve">Tea and snacks for the labourers cost 180</t>
  </si>
  <si>
    <t xml:space="preserve">category=misc; amount=180; description=chai-nashta; date=T</t>
  </si>
  <si>
    <t xml:space="preserve">'180 ka aaya' = spent 180 (decided with the user)</t>
  </si>
  <si>
    <t xml:space="preserve">expense(amount=180, category=misc, note=Mazdooron ke liye, date=2026-10-06)</t>
  </si>
  <si>
    <t xml:space="preserve">amount=180; date=T</t>
  </si>
  <si>
    <t xml:space="preserve">expense_payment(amount=180, date=2026-10-06)</t>
  </si>
  <si>
    <t xml:space="preserve">EXP-A-06</t>
  </si>
  <si>
    <t xml:space="preserve">Kal JCB ka engine oil badalwaya, 4500 lage</t>
  </si>
  <si>
    <t xml:space="preserve">कल जेसीबी का इंजन ऑयल बदलवाया, 4500 लगे</t>
  </si>
  <si>
    <t xml:space="preserve">Yesterday got the JCB's engine oil changed, it cost 4500</t>
  </si>
  <si>
    <t xml:space="preserve">category=repair; amount=4500; description=JCB engine oil; date=T-1</t>
  </si>
  <si>
    <t xml:space="preserve">Repair, yesterday</t>
  </si>
  <si>
    <t xml:space="preserve">expense(amount=4500, category=misc, date=2026-10-05)</t>
  </si>
  <si>
    <t xml:space="preserve">expense(amount=4500, category=repair, date=2026-10-05)</t>
  </si>
  <si>
    <t xml:space="preserve">amount=4500; date=T-1</t>
  </si>
  <si>
    <t xml:space="preserve">record_expense_payment: no entry, no question (route=accounting)</t>
  </si>
  <si>
    <t xml:space="preserve">expense_payment(amount=4500, date=2026-10-05)</t>
  </si>
  <si>
    <t xml:space="preserve">EXP-A-07</t>
  </si>
  <si>
    <t xml:space="preserve">Gudam ke liye naya taala aur chain 650 ki li</t>
  </si>
  <si>
    <t xml:space="preserve">गोदाम के लिए नया ताला और चेन 650 की ली</t>
  </si>
  <si>
    <t xml:space="preserve">Bought a new lock and chain for the warehouse for 650</t>
  </si>
  <si>
    <t xml:space="preserve">category=misc; amount=650; description=taala chain; date=T</t>
  </si>
  <si>
    <t xml:space="preserve">Goods bought for own use — expense, NOT a supplier purchase</t>
  </si>
  <si>
    <t xml:space="preserve">expense(amount=650, category=misc, date=2026-10-06)</t>
  </si>
  <si>
    <t xml:space="preserve">expense(amount=650, category=misc, note=ke liye gudam, date=2026-10-06)</t>
  </si>
  <si>
    <t xml:space="preserve">amount=650; date=T</t>
  </si>
  <si>
    <t xml:space="preserve">expense_payment(amount=650, date=2026-10-06)</t>
  </si>
  <si>
    <t xml:space="preserve">EXP-A-08</t>
  </si>
  <si>
    <t xml:space="preserve">Motorcycle ki tanki mein 500 ka petrol bharwaya</t>
  </si>
  <si>
    <t xml:space="preserve">मोटरसाइकिल की टंकी में 500 का पेट्रोल भरवाया</t>
  </si>
  <si>
    <t xml:space="preserve">Filled 500 worth of petrol in the motorcycle</t>
  </si>
  <si>
    <t xml:space="preserve">category=fuel; amount=500; description=motorcycle petrol; date=T</t>
  </si>
  <si>
    <t xml:space="preserve">Fuel</t>
  </si>
  <si>
    <t xml:space="preserve">expense(amount=500, category=fuel, date=2026-10-06)</t>
  </si>
  <si>
    <t xml:space="preserve">amount=500; date=T</t>
  </si>
  <si>
    <t xml:space="preserve">expense_payment(amount=500, date=2026-10-06)</t>
  </si>
  <si>
    <t xml:space="preserve">EXP-A-09</t>
  </si>
  <si>
    <t xml:space="preserve">Gudam wale phone ka 299 ka recharge karaya</t>
  </si>
  <si>
    <t xml:space="preserve">गोदाम वाले फ़ोन का 299 का रिचार्ज कराया</t>
  </si>
  <si>
    <t xml:space="preserve">Recharged the warehouse phone for 299</t>
  </si>
  <si>
    <t xml:space="preserve">category=misc; amount=299; description=phone recharge; date=T</t>
  </si>
  <si>
    <t xml:space="preserve">Misc</t>
  </si>
  <si>
    <t xml:space="preserve">expense(amount=299, category=misc, date=2026-10-06)</t>
  </si>
  <si>
    <t xml:space="preserve">amount=299; date=T</t>
  </si>
  <si>
    <t xml:space="preserve">expense_payment(amount=299, date=2026-10-06)</t>
  </si>
  <si>
    <t xml:space="preserve">EXP-A-10</t>
  </si>
  <si>
    <t xml:space="preserve">Tractor ka hydraulic theek karwaya, 1400 cash diye</t>
  </si>
  <si>
    <t xml:space="preserve">ट्रैक्टर का हाइड्रोलिक ठीक करवाया, 1400 नकद दिए</t>
  </si>
  <si>
    <t xml:space="preserve">Got the tractor's hydraulics fixed, paid 1400 cash</t>
  </si>
  <si>
    <t xml:space="preserve">category=repair; amount=1400; description=tractor hydraulic; date=T; payment_method=cash</t>
  </si>
  <si>
    <t xml:space="preserve">Repair, cash</t>
  </si>
  <si>
    <t xml:space="preserve">expense(amount=1400, category=repair, date=2026-10-06)</t>
  </si>
  <si>
    <t xml:space="preserve">asked amount (expense)</t>
  </si>
  <si>
    <t xml:space="preserve">record_expense: asked missing_argument:record_expense ['amount']</t>
  </si>
  <si>
    <t xml:space="preserve">amount=1400; date=T</t>
  </si>
  <si>
    <t xml:space="preserve">expense_payment(amount=1400, date=2026-10-06)</t>
  </si>
  <si>
    <t xml:space="preserve">record_expense_payment: asked missing_argument:record_expense ['amount']</t>
  </si>
  <si>
    <t xml:space="preserve">EXP-B-01</t>
  </si>
  <si>
    <t xml:space="preserve">Lucky mechanic se tractor ka clutch theek karwaya, 1800 lage</t>
  </si>
  <si>
    <t xml:space="preserve">लकी मैकेनिक से ट्रैक्टर का क्लच ठीक करवाया, 1800 लगे</t>
  </si>
  <si>
    <t xml:space="preserve">Got the tractor's clutch fixed by Lucky the mechanic, it cost 1800</t>
  </si>
  <si>
    <t xml:space="preserve">category=repair; amount=1800; description=tractor clutch; date=T</t>
  </si>
  <si>
    <t xml:space="preserve">A named mechanic is NOT an employee or supplier — expense, name in note (decided with the user)</t>
  </si>
  <si>
    <t xml:space="preserve">expense(amount=1800, category=repair, date=2026-10-06)</t>
  </si>
  <si>
    <t xml:space="preserve">amount=1800; date=T</t>
  </si>
  <si>
    <t xml:space="preserve">expense_payment(amount=1800, date=2026-10-06)</t>
  </si>
  <si>
    <t xml:space="preserve">EXTRA entry: record_employee_transaction Lucky 1800.0</t>
  </si>
  <si>
    <t xml:space="preserve">EXP-B-02</t>
  </si>
  <si>
    <t xml:space="preserve">Generator ka 2400 ka bill aaya hai, abhi diya nahi</t>
  </si>
  <si>
    <t xml:space="preserve">जनरेटर का 2400 का बिल आया है, अभी दिया नहीं</t>
  </si>
  <si>
    <t xml:space="preserve">The generator bill of 2400 has come, not paid yet</t>
  </si>
  <si>
    <t xml:space="preserve">category=repair; amount=2400; description=generator bill; date=T</t>
  </si>
  <si>
    <t xml:space="preserve">Bill came but not paid — expense only, NO payment</t>
  </si>
  <si>
    <t xml:space="preserve">expense(amount=2400, category=misc, date=2026-10-06)</t>
  </si>
  <si>
    <t xml:space="preserve">expense(amount=2400, category=repair, date=2026-10-06)</t>
  </si>
  <si>
    <t xml:space="preserve">EXP-B-03</t>
  </si>
  <si>
    <t xml:space="preserve">Pichle hafte wali servicing ke 3000 baaki the, aaj de diye</t>
  </si>
  <si>
    <t xml:space="preserve">पिछले हफ्ते वाली सर्विसिंग के 3000 बाकी थे, आज दे दिए</t>
  </si>
  <si>
    <t xml:space="preserve">3000 was pending for last week's servicing, paid it today</t>
  </si>
  <si>
    <t xml:space="preserve">amount=3000; date=T</t>
  </si>
  <si>
    <t xml:space="preserve">Old expense paid today — payment only, NO new expense</t>
  </si>
  <si>
    <t xml:space="preserve">expense_payment(amount=3000, date=2026-10-06)</t>
  </si>
  <si>
    <t xml:space="preserve">EXP-B-04</t>
  </si>
  <si>
    <t xml:space="preserve">Diesel 95 rupaye litre, 40 litre dalwaya tractor mein</t>
  </si>
  <si>
    <t xml:space="preserve">डीज़ल 95 रुपये लीटर, 40 लीटर डलवाया ट्रैक्टर में</t>
  </si>
  <si>
    <t xml:space="preserve">Diesel at 95 a litre, put 40 litres in the tractor</t>
  </si>
  <si>
    <t xml:space="preserve">category=fuel; amount=3800; description=tractor diesel; date=T</t>
  </si>
  <si>
    <t xml:space="preserve">Rate × quantity = 3800</t>
  </si>
  <si>
    <t xml:space="preserve">asked employee_name, amount (employee_transaction)</t>
  </si>
  <si>
    <t xml:space="preserve">record_expense: asked missing_argument:record_employee_transaction ['employee_name', 'amount']</t>
  </si>
  <si>
    <t xml:space="preserve">expense(amount=3800, category=fuel, note=40 litre dalwaya tractor mein, date=2026-10-06)</t>
  </si>
  <si>
    <t xml:space="preserve">amount=3800; date=T</t>
  </si>
  <si>
    <t xml:space="preserve">record_expense_payment: asked missing_argument:record_employee_transaction ['employee_name', 'amount']</t>
  </si>
  <si>
    <t xml:space="preserve">expense_payment(amount=3800, note=40 litre dalwaya tractor mein, date=2026-10-06)</t>
  </si>
  <si>
    <t xml:space="preserve">EXP-B-05</t>
  </si>
  <si>
    <t xml:space="preserve">Bijli ka bill 2100 aaya, aadha abhi bhara baaki agle mahine</t>
  </si>
  <si>
    <t xml:space="preserve">बिजली का बिल 2100 आया, आधा अभी भरा बाकी अगले महीने</t>
  </si>
  <si>
    <t xml:space="preserve">Electricity bill of 2100 came, paid half now, the rest next month</t>
  </si>
  <si>
    <t xml:space="preserve">category=misc; amount=2100; description=bijli bill; date=T</t>
  </si>
  <si>
    <t xml:space="preserve">Full bill as expense, half (1050) paid now</t>
  </si>
  <si>
    <t xml:space="preserve">expense(amount=2100, category=misc, note=aadha abhi bhara, baaki agle mahine, date=2026-11-06)</t>
  </si>
  <si>
    <t xml:space="preserve">record_expense: date 2026-11-06≠2026-10-06</t>
  </si>
  <si>
    <t xml:space="preserve">expense(amount=2100, category=misc, note=Aadha abhi bhara, baaki agle mahine, date=2026-10-06)</t>
  </si>
  <si>
    <t xml:space="preserve">amount=1050; date=T</t>
  </si>
  <si>
    <t xml:space="preserve">expense_payment(amount=1050, note=baaki agle mahine, date=2026-11-06)</t>
  </si>
  <si>
    <t xml:space="preserve">record_expense_payment: date 2026-11-06≠2026-10-06</t>
  </si>
  <si>
    <t xml:space="preserve">expense_payment(amount=1050, note=Aadha abhi bhara, baaki agle mahine, date=2026-10-06)</t>
  </si>
  <si>
    <t xml:space="preserve">EXP-B-06</t>
  </si>
  <si>
    <t xml:space="preserve">Truck ka bhaada 2500 diya, maal Rewari se aaya tha</t>
  </si>
  <si>
    <t xml:space="preserve">ट्रक का भाड़ा 2500 दिया, माल रेवाड़ी से आया था</t>
  </si>
  <si>
    <t xml:space="preserve">Paid 2500 truck freight, the goods came from Rewari</t>
  </si>
  <si>
    <t xml:space="preserve">category=misc; amount=2500; description=truck bhaada; date=T</t>
  </si>
  <si>
    <t xml:space="preserve">Freight is an expense — NOT a supplier entry even though 'maal aaya'</t>
  </si>
  <si>
    <t xml:space="preserve">asked location (destination) → Pata nahi; asked location (Rewari) → stopped</t>
  </si>
  <si>
    <t xml:space="preserve">record_expense: asked material_movement:LOCATION_TYPE_CONFIRMATION </t>
  </si>
  <si>
    <t xml:space="preserve">expense(amount=2500, category=misc, note=Maal Rewari se aaya tha, date=2026-10-06)</t>
  </si>
  <si>
    <t xml:space="preserve">amount=2500; date=T</t>
  </si>
  <si>
    <t xml:space="preserve">record_expense_payment: asked material_movement:LOCATION_TYPE_CONFIRMATION </t>
  </si>
  <si>
    <t xml:space="preserve">expense_payment(amount=2500, note=Maal Rewari se aaya tha, date=2026-10-06)</t>
  </si>
  <si>
    <t xml:space="preserve">EXP-B-07</t>
  </si>
  <si>
    <t xml:space="preserve">₹450 ka tel daala, tractor wala</t>
  </si>
  <si>
    <t xml:space="preserve">₹450 का तेल डाला, ट्रैक्टर वाला</t>
  </si>
  <si>
    <t xml:space="preserve">Put in 450 rupees of fuel, the tractor</t>
  </si>
  <si>
    <t xml:space="preserve">category=fuel; amount=450; description=tractor tel; date=T</t>
  </si>
  <si>
    <t xml:space="preserve">Short spoken sentence, amount first</t>
  </si>
  <si>
    <t xml:space="preserve">expense(amount=450, category=fuel, note=tractor wala, date=2026-10-06)</t>
  </si>
  <si>
    <t xml:space="preserve">amount=450; date=T</t>
  </si>
  <si>
    <t xml:space="preserve">expense_payment(amount=450, note=tractor wala, date=2026-10-06)</t>
  </si>
  <si>
    <t xml:space="preserve">EXP-B-08</t>
  </si>
  <si>
    <t xml:space="preserve">Machine theek karwane mein dedh hazaar lag gaye</t>
  </si>
  <si>
    <t xml:space="preserve">मशीन ठीक करवाने में डेढ़ हज़ार लग गए</t>
  </si>
  <si>
    <t xml:space="preserve">It took one and a half thousand to get the machine fixed</t>
  </si>
  <si>
    <t xml:space="preserve">category=repair; amount=1500; description=machine; date=T</t>
  </si>
  <si>
    <t xml:space="preserve">Amount in words (dedh hazaar = 1500)</t>
  </si>
  <si>
    <t xml:space="preserve">expense(amount=1500, category=repair, date=2026-10-06)</t>
  </si>
  <si>
    <t xml:space="preserve">amount=1500; date=T</t>
  </si>
  <si>
    <t xml:space="preserve">expense_payment(amount=1500, date=2026-10-06)</t>
  </si>
  <si>
    <t xml:space="preserve">EXP-B-09</t>
  </si>
  <si>
    <t xml:space="preserve">JCB mein 3500 aur dono tractoron mein milake 2000 ka diesel gaya</t>
  </si>
  <si>
    <t xml:space="preserve">जेसीबी में 3500 और दोनों ट्रैक्टरों में मिलाके 2000 का डीज़ल गया</t>
  </si>
  <si>
    <t xml:space="preserve">3500 of diesel went into the JCB and 2000 into both tractors together</t>
  </si>
  <si>
    <t xml:space="preserve">category=fuel; amount=3500; description=JCB diesel; date=T</t>
  </si>
  <si>
    <t xml:space="preserve">Two expenses in one sentence</t>
  </si>
  <si>
    <t xml:space="preserve">expense(amount=3500, category=fuel, date=2026-10-06)</t>
  </si>
  <si>
    <t xml:space="preserve">amount=3500; date=T</t>
  </si>
  <si>
    <t xml:space="preserve">expense_payment(amount=3500, date=2026-10-06)</t>
  </si>
  <si>
    <t xml:space="preserve">category=fuel; amount=2000; description=tractor diesel; date=T</t>
  </si>
  <si>
    <t xml:space="preserve">expense(amount=2000, category=fuel, date=2026-10-06)</t>
  </si>
  <si>
    <t xml:space="preserve">amount=2000; date=T</t>
  </si>
  <si>
    <t xml:space="preserve">expense_payment(amount=2000, date=2026-10-06)</t>
  </si>
  <si>
    <t xml:space="preserve">EXP-B-10</t>
  </si>
  <si>
    <t xml:space="preserve">Site pe paani ka tanker mangwaya, 800 GPay kiye</t>
  </si>
  <si>
    <t xml:space="preserve">साइट पे पानी का टैंकर मंगवाया, 800 जीपे किए</t>
  </si>
  <si>
    <t xml:space="preserve">Ordered a water tanker at the site, paid 800 by GPay</t>
  </si>
  <si>
    <t xml:space="preserve">category=misc; amount=800; description=paani tanker; date=T; payment_method=upi</t>
  </si>
  <si>
    <t xml:space="preserve">Misc, UPI</t>
  </si>
  <si>
    <t xml:space="preserve">expense(amount=800, category=misc, date=2026-10-06)</t>
  </si>
  <si>
    <t xml:space="preserve">amount=800; date=T</t>
  </si>
  <si>
    <t xml:space="preserve">expense_payment(amount=800, date=2026-10-06)</t>
  </si>
  <si>
    <t xml:space="preserve">EXP-C-01</t>
  </si>
  <si>
    <t xml:space="preserve">Diesel dalwaya aaj tractor mein</t>
  </si>
  <si>
    <t xml:space="preserve">डीज़ल डलवाया आज ट्रैक्टर में</t>
  </si>
  <si>
    <t xml:space="preserve">Put diesel in the tractor today</t>
  </si>
  <si>
    <t xml:space="preserve">How much?</t>
  </si>
  <si>
    <t xml:space="preserve">No amount — must ask, not guess</t>
  </si>
  <si>
    <t xml:space="preserve">asked location (source) → Pata nahi; asked location (destination) → Pata nahi</t>
  </si>
  <si>
    <t xml:space="preserve">EXP-C-02</t>
  </si>
  <si>
    <t xml:space="preserve">Agle hafte JCB ka engine khulwana hai, 2000 lagenge</t>
  </si>
  <si>
    <t xml:space="preserve">अगले हफ्ते जेसीबी का इंजन खुलवाना है, 2000 लगेंगे</t>
  </si>
  <si>
    <t xml:space="preserve">Next week the JCB engine has to be opened, it will cost 2000</t>
  </si>
  <si>
    <t xml:space="preserve">EXP-C-03</t>
  </si>
  <si>
    <t xml:space="preserve">1200 ka kharcha hua aaj</t>
  </si>
  <si>
    <t xml:space="preserve">1200 का खर्चा हुआ आज</t>
  </si>
  <si>
    <t xml:space="preserve">There was an expense of 1200 today</t>
  </si>
  <si>
    <t xml:space="preserve">What was it for?</t>
  </si>
  <si>
    <t xml:space="preserve">No description / category — must ask</t>
  </si>
  <si>
    <t xml:space="preserve">asked description (expense)</t>
  </si>
  <si>
    <t xml:space="preserve">EXP-C-04</t>
  </si>
  <si>
    <t xml:space="preserve">Tractor ki servicing 2500 mein karwayi, nahi nahi 2800 lage</t>
  </si>
  <si>
    <t xml:space="preserve">ट्रैक्टर की सर्विसिंग 2500 में करवाई, नहीं नहीं 2800 लगे</t>
  </si>
  <si>
    <t xml:space="preserve">Got the tractor serviced for 2500, no no, it cost 2800</t>
  </si>
  <si>
    <t xml:space="preserve">category=repair; amount=2800; description=tractor servicing; date=T</t>
  </si>
  <si>
    <t xml:space="preserve">Self-correction — exactly ONE expense of 2800</t>
  </si>
  <si>
    <t xml:space="preserve">expense(amount=2500, category=repair, date=2026-10-06)</t>
  </si>
  <si>
    <t xml:space="preserve">record_expense: amount 2500.0≠2800</t>
  </si>
  <si>
    <t xml:space="preserve">expense(amount=2800, category=repair, date=2026-10-06)</t>
  </si>
  <si>
    <t xml:space="preserve">amount=2800; date=T</t>
  </si>
  <si>
    <t xml:space="preserve">expense_payment(amount=2800, date=2026-10-06)</t>
  </si>
  <si>
    <t xml:space="preserve">EXTRA entry: record_expense  2800.0</t>
  </si>
  <si>
    <t xml:space="preserve">EXP-C-05</t>
  </si>
  <si>
    <t xml:space="preserve">Is mahine diesel pe kitna kharch hua?</t>
  </si>
  <si>
    <t xml:space="preserve">इस महीने डीज़ल पे कितना खर्च हुआ?</t>
  </si>
  <si>
    <t xml:space="preserve">How much was spent on diesel this month?</t>
  </si>
  <si>
    <t xml:space="preserve">EXP-C-06</t>
  </si>
  <si>
    <t xml:space="preserve">Kal petrol ke 300 likhwaye the, wo galat the, 350 the</t>
  </si>
  <si>
    <t xml:space="preserve">कल पेट्रोल के 300 लिखवाए थे, वो गलत थे, 350 थे</t>
  </si>
  <si>
    <t xml:space="preserve">Yesterday I recorded 300 for petrol, that was wrong, it was 350</t>
  </si>
  <si>
    <t xml:space="preserve">Correction of yesterday's entry</t>
  </si>
  <si>
    <t xml:space="preserve">Correction of an old entry — no new entry</t>
  </si>
  <si>
    <t xml:space="preserve">expense(amount=300, category=fuel, date=2026-10-05); expense(amount=350, category=fuel, date=2026-10-05)</t>
  </si>
  <si>
    <t xml:space="preserve">entry made instead of asking: record_expense, record_expense</t>
  </si>
  <si>
    <t xml:space="preserve">asked/stopped: correction: CorrectionCategoryHITLRequest</t>
  </si>
  <si>
    <t xml:space="preserve">EXP-C-07</t>
  </si>
  <si>
    <t xml:space="preserve">Dukaan ka kiraya is baar abhi nahi diya</t>
  </si>
  <si>
    <t xml:space="preserve">दुकान का किराया इस बार अभी नहीं दिया</t>
  </si>
  <si>
    <t xml:space="preserve">Haven't paid the shop rent this time yet</t>
  </si>
  <si>
    <t xml:space="preserve">Negation — nothing happened</t>
  </si>
  <si>
    <t xml:space="preserve">EXP-C-08</t>
  </si>
  <si>
    <t xml:space="preserve">Mistri ne generator dekh liya, paise baad mein denge</t>
  </si>
  <si>
    <t xml:space="preserve">मिस्त्री ने जनरेटर देख लिया, पैसे बाद में देंगे</t>
  </si>
  <si>
    <t xml:space="preserve">The mechanic checked the generator, will pay later</t>
  </si>
  <si>
    <t xml:space="preserve">Work done but no amount and not paid — ask, do not guess</t>
  </si>
  <si>
    <t xml:space="preserve">EXP-C-09</t>
  </si>
  <si>
    <t xml:space="preserve">Diesel 3000</t>
  </si>
  <si>
    <t xml:space="preserve">डीज़ल 3000</t>
  </si>
  <si>
    <t xml:space="preserve">category=fuel; amount=3000; description=diesel; date=T</t>
  </si>
  <si>
    <t xml:space="preserve">Shortest possible statement</t>
  </si>
  <si>
    <t xml:space="preserve">expense(amount=3000, category=fuel, date=2026-10-06)</t>
  </si>
  <si>
    <t xml:space="preserve">EXP-C-10</t>
  </si>
  <si>
    <t xml:space="preserve">Ghar ki bijli ka bill 1600 bhara</t>
  </si>
  <si>
    <t xml:space="preserve">घर की बिजली का बिल 1600 भरा</t>
  </si>
  <si>
    <t xml:space="preserve">Paid the home electricity bill, 1600</t>
  </si>
  <si>
    <t xml:space="preserve">member_name=Ghar; transaction_type=kharcha; amount=1600; date=T</t>
  </si>
  <si>
    <t xml:space="preserve">HOME bill = family expense, not a business expense</t>
  </si>
  <si>
    <t xml:space="preserve">family_transaction(member_name=Ghar, transaction_type=kharcha, amount=1600, date=2026-10-06)</t>
  </si>
  <si>
    <t xml:space="preserve">EXTRA entry: record_expense  1600.0</t>
  </si>
  <si>
    <t xml:space="preserve">EXP-D-01</t>
  </si>
  <si>
    <t xml:space="preserve">Kirana dukaan ke liye packing ki thailiyan 350 ki li</t>
  </si>
  <si>
    <t xml:space="preserve">किराना दुकान के लिए पैकिंग की थैलियाँ 350 की लीं</t>
  </si>
  <si>
    <t xml:space="preserve">Bought packing bags for the grocery shop for 350</t>
  </si>
  <si>
    <t xml:space="preserve">category=misc; amount=350; description=packing thailiyan; date=T</t>
  </si>
  <si>
    <t xml:space="preserve">Shop supplies — expense, NOT stock from a supplier</t>
  </si>
  <si>
    <t xml:space="preserve">expense(amount=350, category=misc, note=Kirana dukaan ke liye, date=2026-10-06)</t>
  </si>
  <si>
    <t xml:space="preserve">amount=350; date=T</t>
  </si>
  <si>
    <t xml:space="preserve">expense_payment(amount=350, date=2026-10-06)</t>
  </si>
  <si>
    <t xml:space="preserve">EXP-D-02</t>
  </si>
  <si>
    <t xml:space="preserve">Dairy ka freezer theek karwaya electrician se, 2200 lage</t>
  </si>
  <si>
    <t xml:space="preserve">डेयरी का फ्रीज़र ठीक करवाया इलेक्ट्रीशियन से, 2200 लगे</t>
  </si>
  <si>
    <t xml:space="preserve">Got the dairy's freezer fixed by an electrician, it cost 2200</t>
  </si>
  <si>
    <t xml:space="preserve">category=repair; amount=2200; description=freezer; date=T</t>
  </si>
  <si>
    <t xml:space="preserve">Repair</t>
  </si>
  <si>
    <t xml:space="preserve">expense(amount=2200, category=repair, note=electrician se, date=2026-10-06)</t>
  </si>
  <si>
    <t xml:space="preserve">amount=2200; date=T</t>
  </si>
  <si>
    <t xml:space="preserve">expense_payment(amount=2200, note=electrician se, date=2026-10-06)</t>
  </si>
  <si>
    <t xml:space="preserve">EXP-D-03</t>
  </si>
  <si>
    <t xml:space="preserve">Hardware shop ka mahine ka kiraya 9000, cheque se diya</t>
  </si>
  <si>
    <t xml:space="preserve">हार्डवेयर शॉप का महीने का किराया 9000, चेक से दिया</t>
  </si>
  <si>
    <t xml:space="preserve">Hardware shop's monthly rent 9000, paid by cheque</t>
  </si>
  <si>
    <t xml:space="preserve">category=rent; amount=9000; description=shop kiraya; date=T; payment_method=cheque</t>
  </si>
  <si>
    <t xml:space="preserve">Rent, cheque</t>
  </si>
  <si>
    <t xml:space="preserve">expense(amount=9000, category=rent, date=2026-10-06)</t>
  </si>
  <si>
    <t xml:space="preserve">amount=9000; date=T</t>
  </si>
  <si>
    <t xml:space="preserve">expense_payment(amount=9000, note=Hardware shop ka mahine ka, date=2026-10-06)</t>
  </si>
  <si>
    <t xml:space="preserve">expense_payment(amount=9000, note=cheque se diya, date=2026-10-06)</t>
  </si>
  <si>
    <t xml:space="preserve">EXP-D-04</t>
  </si>
  <si>
    <t xml:space="preserve">Dhaba ka gas cylinder bharwaya 1100 mein</t>
  </si>
  <si>
    <t xml:space="preserve">ढाबे का गैस सिलेंडर भरवाया 1100 में</t>
  </si>
  <si>
    <t xml:space="preserve">Got the dhaba's gas cylinder refilled for 1100</t>
  </si>
  <si>
    <t xml:space="preserve">category=fuel; amount=1100; description=gas cylinder; date=T</t>
  </si>
  <si>
    <t xml:space="preserve">Cooking gas = fuel</t>
  </si>
  <si>
    <t xml:space="preserve">expense(amount=1100, category=fuel, note=Dhaba ka, date=2026-10-06)</t>
  </si>
  <si>
    <t xml:space="preserve">amount=1100; date=T</t>
  </si>
  <si>
    <t xml:space="preserve">expense_payment(amount=1100, date=2026-10-06)</t>
  </si>
  <si>
    <t xml:space="preserve">EXP-D-05</t>
  </si>
  <si>
    <t xml:space="preserve">Silai machine ki sui aur tel 120 ka aaya, tailor shop ke liye</t>
  </si>
  <si>
    <t xml:space="preserve">सिलाई मशीन की सुई और तेल 120 का आया, टेलर शॉप के लिए</t>
  </si>
  <si>
    <t xml:space="preserve">Needles and oil for the sewing machine cost 120, for the tailor shop</t>
  </si>
  <si>
    <t xml:space="preserve">category=misc; amount=120; description=sui tel; date=T</t>
  </si>
  <si>
    <t xml:space="preserve">Small supplies</t>
  </si>
  <si>
    <t xml:space="preserve">asked supplier_name (supplier_transaction)</t>
  </si>
  <si>
    <t xml:space="preserve">record_expense: asked missing_argument:record_supplier_transaction ['supplier_name']</t>
  </si>
  <si>
    <t xml:space="preserve">expense(amount=120, category=misc, note=tailor shop ke liye, date=2026-10-06)</t>
  </si>
  <si>
    <t xml:space="preserve">amount=120; date=T</t>
  </si>
  <si>
    <t xml:space="preserve">record_expense_payment: asked missing_argument:record_supplier_transaction ['supplier_name']</t>
  </si>
  <si>
    <t xml:space="preserve">expense_payment(amount=120, note=tailor shop ke liye, date=2026-10-06)</t>
  </si>
  <si>
    <t xml:space="preserve">EXP-D-06</t>
  </si>
  <si>
    <t xml:space="preserve">Mobile shop ka WiFi bill 799 bank account se kat gaya</t>
  </si>
  <si>
    <t xml:space="preserve">मोबाइल शॉप का वाईफाई बिल 799 बैंक खाते से कट गया</t>
  </si>
  <si>
    <t xml:space="preserve">The mobile shop's WiFi bill of 799 was debited from the bank account</t>
  </si>
  <si>
    <t xml:space="preserve">category=misc; amount=799; description=wifi bill; date=T</t>
  </si>
  <si>
    <t xml:space="preserve">Auto-debit</t>
  </si>
  <si>
    <t xml:space="preserve">expense(amount=799, category=misc, note=Mobile shop ka, date=2026-10-06)</t>
  </si>
  <si>
    <t xml:space="preserve">amount=799; date=T</t>
  </si>
  <si>
    <t xml:space="preserve">expense_payment(amount=799, note=bank account se kat gaya, date=2026-10-06)</t>
  </si>
  <si>
    <t xml:space="preserve">EXP-D-07</t>
  </si>
  <si>
    <t xml:space="preserve">Medical store ke AC mein gas bharwayi, 2800 lage</t>
  </si>
  <si>
    <t xml:space="preserve">मेडिकल स्टोर के एसी में गैस भरवाई, 2800 लगे</t>
  </si>
  <si>
    <t xml:space="preserve">Got gas refilled in the medical store's AC, it cost 2800</t>
  </si>
  <si>
    <t xml:space="preserve">category=repair; amount=2800; description=AC gas; date=T</t>
  </si>
  <si>
    <t xml:space="preserve">AC gas refill = repair, NOT fuel</t>
  </si>
  <si>
    <t xml:space="preserve">asked employee_name (employee_transaction)</t>
  </si>
  <si>
    <t xml:space="preserve">record_expense: asked missing_argument:record_employee_transaction ['employee_name']</t>
  </si>
  <si>
    <t xml:space="preserve">record_expense_payment: asked missing_argument:record_employee_transaction ['employee_name']</t>
  </si>
  <si>
    <t xml:space="preserve">EXP-D-08</t>
  </si>
  <si>
    <t xml:space="preserve">Dairy ki delivery van mein 1500 ki CNG dalwayi</t>
  </si>
  <si>
    <t xml:space="preserve">डेयरी की डिलीवरी वैन में 1500 की सीएनजी डलवाई</t>
  </si>
  <si>
    <t xml:space="preserve">Put 1500 of CNG in the dairy's delivery van</t>
  </si>
  <si>
    <t xml:space="preserve">category=fuel; amount=1500; description=van CNG; date=T</t>
  </si>
  <si>
    <t xml:space="preserve">expense(amount=1500, category=fuel, note=Dairy ki delivery van mein, date=2026-10-06)</t>
  </si>
  <si>
    <t xml:space="preserve">EXP-D-09</t>
  </si>
  <si>
    <t xml:space="preserve">Kirana ki dukaan ke bahar naya board banwaya 1800 ka</t>
  </si>
  <si>
    <t xml:space="preserve">किराने की दुकान के बाहर नया बोर्ड बनवाया 1800 का</t>
  </si>
  <si>
    <t xml:space="preserve">Got a new board made outside the grocery shop for 1800</t>
  </si>
  <si>
    <t xml:space="preserve">category=misc; amount=1800; description=board; date=T</t>
  </si>
  <si>
    <t xml:space="preserve">expense(amount=1800, category=misc, note=Kirana ki dukaan ke bahar, date=2026-10-06)</t>
  </si>
  <si>
    <t xml:space="preserve">EXP-D-10</t>
  </si>
  <si>
    <t xml:space="preserve">Chai ki dukaan ka bijli meter kharab tha, lineman ko 500 diye</t>
  </si>
  <si>
    <t xml:space="preserve">चाय की दुकान का बिजली मीटर खराब था, लाइनमैन को 500 दिए</t>
  </si>
  <si>
    <t xml:space="preserve">The tea shop's electricity meter was faulty, paid the lineman 500</t>
  </si>
  <si>
    <t xml:space="preserve">category=repair; amount=500; description=bijli meter; date=T</t>
  </si>
  <si>
    <t xml:space="preserve">'lineman ko diye' is not an employee — expense</t>
  </si>
  <si>
    <t xml:space="preserve">expense(amount=500, category=repair, note=lineman ko 500 diye, date=2026-10-06)</t>
  </si>
  <si>
    <t xml:space="preserve">expense_payment(amount=500, note=lineman ko diye, date=2026-10-06)</t>
  </si>
  <si>
    <t xml:space="preserve">EXTRA entry: record_employee_transaction lineman 500.0</t>
  </si>
  <si>
    <t xml:space="preserve">EXP-E-01</t>
  </si>
  <si>
    <t xml:space="preserve">Ram ko 800 de diye, saath mein dumper ki tanki 1500 se bharwayi</t>
  </si>
  <si>
    <t xml:space="preserve">राम को 800 दे दिए, साथ में डंपर की टंकी 1500 से भरवाई</t>
  </si>
  <si>
    <t xml:space="preserve">Gave Ram 800, and also filled the dumper's tank for 1500</t>
  </si>
  <si>
    <t xml:space="preserve">employee_name=Ram; transaction_type=payment; amount=800; date=T</t>
  </si>
  <si>
    <t xml:space="preserve">Employee payment + fuel</t>
  </si>
  <si>
    <t xml:space="preserve">employee_transaction(employee_name=Ram, transaction_type=payment, amount=800, date=2026-10-06)</t>
  </si>
  <si>
    <t xml:space="preserve">category=fuel; amount=1500; description=dumper diesel; date=T</t>
  </si>
  <si>
    <t xml:space="preserve">expense(amount=1500, category=fuel, note=bharwayi, date=2026-10-06)</t>
  </si>
  <si>
    <t xml:space="preserve">EXP-E-02</t>
  </si>
  <si>
    <t xml:space="preserve">Gupta ji ne 5000 jama karaye aur dukaan ka 2000 kiraya chuka diya</t>
  </si>
  <si>
    <t xml:space="preserve">गुप्ता जी ने 5000 जमा कराए और दुकान का 2000 किराया चुका दिया</t>
  </si>
  <si>
    <t xml:space="preserve">Gupta ji deposited 5000 and I paid the shop rent of 2000</t>
  </si>
  <si>
    <t xml:space="preserve">customer_name=Gupta ji; amount=5000; date=T</t>
  </si>
  <si>
    <t xml:space="preserve">Customer payment + rent</t>
  </si>
  <si>
    <t xml:space="preserve">sale_payment(customer_name=Gupta ji, amount=5000, date=2026-10-06)</t>
  </si>
  <si>
    <t xml:space="preserve">category=rent; amount=2000; description=dukaan kiraya; date=T</t>
  </si>
  <si>
    <t xml:space="preserve">expense(amount=2000, category=rent, date=2026-10-06)</t>
  </si>
  <si>
    <t xml:space="preserve">EXP-E-03</t>
  </si>
  <si>
    <t xml:space="preserve">Om bhatte wali 2000 eent 14000 mein aayi, upar se truck wale ne 1500 bhaada liya</t>
  </si>
  <si>
    <t xml:space="preserve">ओम भट्टे वाली 2000 ईंट 14000 में आई, ऊपर से ट्रक वाले ने 1500 भाड़ा लिया</t>
  </si>
  <si>
    <t xml:space="preserve">2000 bricks from Om kiln came for 14000, and the truck driver took 1500 freight on top</t>
  </si>
  <si>
    <t xml:space="preserve">supplier_name=Om; item_name=eent; quantity=2000; amount=14000; date=T</t>
  </si>
  <si>
    <t xml:space="preserve">Supplier purchase + freight as a separate expense</t>
  </si>
  <si>
    <t xml:space="preserve">supplier_transaction(supplier_name=Om, item_name=eent, quantity=2000, rate=7, amount=14000, date=2026-10-06)</t>
  </si>
  <si>
    <t xml:space="preserve">category=misc; amount=1500; description=truck bhaada; date=T</t>
  </si>
  <si>
    <t xml:space="preserve">expense(amount=1500, category=misc, date=2026-10-06)</t>
  </si>
  <si>
    <t xml:space="preserve">asked location (destination) → Pata nahi; asked location (Om bhatte wali) → supplier</t>
  </si>
  <si>
    <t xml:space="preserve">EXP-E-04</t>
  </si>
  <si>
    <t xml:space="preserve">Papa ne ghar ke liye 3000 liye aur generator ki marammat 1200 mein hui</t>
  </si>
  <si>
    <t xml:space="preserve">पापा ने घर के लिए 3000 लिए और जनरेटर की मरम्मत 1200 में हुई</t>
  </si>
  <si>
    <t xml:space="preserve">Papa took 3000 for the house and the generator repair cost 1200</t>
  </si>
  <si>
    <t xml:space="preserve">member_name=Papa; transaction_type=kharcha; amount=3000; date=T</t>
  </si>
  <si>
    <t xml:space="preserve">Family + repair</t>
  </si>
  <si>
    <t xml:space="preserve">family_transaction(member_name=Papa, transaction_type=kharcha, amount=3000, date=2026-10-06)</t>
  </si>
  <si>
    <t xml:space="preserve">category=repair; amount=1200; description=generator; date=T</t>
  </si>
  <si>
    <t xml:space="preserve">expense(amount=1200, category=repair, date=2026-10-06)</t>
  </si>
  <si>
    <t xml:space="preserve">expense_payment(amount=1200, date=2026-10-06)</t>
  </si>
  <si>
    <t xml:space="preserve">EXP-E-05</t>
  </si>
  <si>
    <t xml:space="preserve">Aaj Sohan ki haazri lagao, aur dukaan ki safai ka saamaan 250 ka laaye</t>
  </si>
  <si>
    <t xml:space="preserve">आज सोहन की हाज़िरी लगाओ, और दुकान की सफाई का सामान 250 का लाए</t>
  </si>
  <si>
    <t xml:space="preserve">Mark Sohan present today, and bought cleaning supplies for the shop for 250</t>
  </si>
  <si>
    <t xml:space="preserve">Attendance + expense</t>
  </si>
  <si>
    <t xml:space="preserve">attendance(employee_name=Sohan, attendance=P, driving=absent, date=2026-10-06)</t>
  </si>
  <si>
    <t xml:space="preserve">category=misc; amount=250; description=safai saamaan; date=T</t>
  </si>
  <si>
    <t xml:space="preserve">expense(amount=250, category=misc, date=2026-10-06)</t>
  </si>
  <si>
    <t xml:space="preserve">EXP-E-06</t>
  </si>
  <si>
    <t xml:space="preserve">Bijli ka bill 2300 bhara, Verma ji 300 eent 2400 mein le gaye</t>
  </si>
  <si>
    <t xml:space="preserve">बिजली का बिल 2300 भरा, वर्मा जी 300 ईंट 2400 में ले गए</t>
  </si>
  <si>
    <t xml:space="preserve">Paid the electricity bill of 2300, Verma ji took 300 bricks for 2400</t>
  </si>
  <si>
    <t xml:space="preserve">category=misc; amount=2300; description=bijli bill; date=T</t>
  </si>
  <si>
    <t xml:space="preserve">Expense + sale</t>
  </si>
  <si>
    <t xml:space="preserve">expense(amount=2300, category=misc, date=2026-10-06)</t>
  </si>
  <si>
    <t xml:space="preserve">amount=2300; date=T</t>
  </si>
  <si>
    <t xml:space="preserve">expense_payment(amount=2300, date=2026-10-06)</t>
  </si>
  <si>
    <t xml:space="preserve">customer_name=Verma ji; item_name=eent; quantity=300; amount=2400; date=T</t>
  </si>
  <si>
    <t xml:space="preserve">sale_transaction(customer_name=Verma ji, item_name=eent, quantity=300, amount=2400, date=2026-10-06)</t>
  </si>
  <si>
    <t xml:space="preserve">EXP-E-07</t>
  </si>
  <si>
    <t xml:space="preserve">JCB mein 2500 ka diesel, operator Kitanu ko 600 ki dihaadi di</t>
  </si>
  <si>
    <t xml:space="preserve">जेसीबी में 2500 का डीज़ल, ऑपरेटर कितनू को 600 की दिहाड़ी दी</t>
  </si>
  <si>
    <t xml:space="preserve">2500 of diesel in the JCB, paid operator Kitanu 600 for the day</t>
  </si>
  <si>
    <t xml:space="preserve">category=fuel; amount=2500; description=JCB diesel; date=T</t>
  </si>
  <si>
    <t xml:space="preserve">Fuel + employee daily wage</t>
  </si>
  <si>
    <t xml:space="preserve">expense(amount=2500, category=fuel, date=2026-10-06)</t>
  </si>
  <si>
    <t xml:space="preserve">expense_payment(amount=2500, date=2026-10-06)</t>
  </si>
  <si>
    <t xml:space="preserve">employee_name=Kitanu; transaction_type=payment; amount=600; date=T</t>
  </si>
  <si>
    <t xml:space="preserve">employee_transaction(employee_name=Kitanu, transaction_type=payment, amount=600, note=dihaadi di, date=2026-10-06)</t>
  </si>
  <si>
    <t xml:space="preserve">EXP-E-08</t>
  </si>
  <si>
    <t xml:space="preserve">Kal dukaan ka kiraya 6000 diya, aaj tractor ka tyre 3500 ka badalwaya</t>
  </si>
  <si>
    <t xml:space="preserve">कल दुकान का किराया 6000 दिया, आज ट्रैक्टर का टायर 3500 का बदलवाया</t>
  </si>
  <si>
    <t xml:space="preserve">Paid the shop rent of 6000 yesterday, got the tractor tyre changed today for 3500</t>
  </si>
  <si>
    <t xml:space="preserve">category=rent; amount=6000; description=dukaan kiraya; date=T-1</t>
  </si>
  <si>
    <t xml:space="preserve">Two expenses on two different dates</t>
  </si>
  <si>
    <t xml:space="preserve">expense(amount=6000, category=rent, date=2026-10-05)</t>
  </si>
  <si>
    <t xml:space="preserve">amount=6000; date=T-1</t>
  </si>
  <si>
    <t xml:space="preserve">expense_payment(amount=6000, date=2026-10-05)</t>
  </si>
  <si>
    <t xml:space="preserve">category=repair; amount=3500; description=tractor tyre; date=T</t>
  </si>
  <si>
    <t xml:space="preserve">expense(amount=3500, category=misc, date=2026-10-06)</t>
  </si>
  <si>
    <t xml:space="preserve">expense(amount=3500, category=repair, date=2026-10-06)</t>
  </si>
  <si>
    <t xml:space="preserve">EXP-E-09</t>
  </si>
  <si>
    <t xml:space="preserve">Mahadev reta wale ko 4000 bheje aur gaadi ki service 1800 mein karwayi</t>
  </si>
  <si>
    <t xml:space="preserve">महादेव रेता वाले को 4000 भेजे और गाड़ी की सर्विस 1800 में करवाई</t>
  </si>
  <si>
    <t xml:space="preserve">Sent 4000 to Mahadev the sand supplier and got the vehicle serviced for 1800</t>
  </si>
  <si>
    <t xml:space="preserve">supplier_name=Mahadev; amount=4000; date=T</t>
  </si>
  <si>
    <t xml:space="preserve">Supplier payment + repair</t>
  </si>
  <si>
    <t xml:space="preserve">asked supplier_name, amount (supplier_payment)</t>
  </si>
  <si>
    <t xml:space="preserve">record_supplier_payment: asked missing_argument:record_supplier_payment ['supplier_name', 'amount']</t>
  </si>
  <si>
    <t xml:space="preserve">supplier_payment(supplier_name=Mahadev, amount=4000, date=2026-10-06)</t>
  </si>
  <si>
    <t xml:space="preserve">category=repair; amount=1800; description=gaadi service; date=T</t>
  </si>
  <si>
    <t xml:space="preserve">record_expense: asked missing_argument:record_supplier_payment ['supplier_name', 'amount']</t>
  </si>
  <si>
    <t xml:space="preserve">record_expense_payment: asked missing_argument:record_supplier_payment ['supplier_name', 'amount']</t>
  </si>
  <si>
    <t xml:space="preserve">EXP-E-10</t>
  </si>
  <si>
    <t xml:space="preserve">Chai-pani 200, diesel 2000 aur Ram ko 500 advance</t>
  </si>
  <si>
    <t xml:space="preserve">चाय-पानी 200, डीज़ल 2000 और राम को 500 एडवांस</t>
  </si>
  <si>
    <t xml:space="preserve">Tea 200, diesel 2000 and 500 advance to Ram</t>
  </si>
  <si>
    <t xml:space="preserve">category=misc; amount=200; description=chai-pani; date=T</t>
  </si>
  <si>
    <t xml:space="preserve">Three items in very short words</t>
  </si>
  <si>
    <t xml:space="preserve">expense(amount=200, category=misc, date=2026-10-06)</t>
  </si>
  <si>
    <t xml:space="preserve">amount=200; date=T</t>
  </si>
  <si>
    <t xml:space="preserve">expense_payment(amount=200, date=2026-10-06)</t>
  </si>
  <si>
    <t xml:space="preserve">category=fuel; amount=2000; description=diesel; date=T</t>
  </si>
  <si>
    <t xml:space="preserve">employee_transaction(employee_name=Ram, transaction_type=payment, amount=500, note=advance, date=2026-10-06)</t>
  </si>
  <si>
    <t xml:space="preserve">Family bundle — test cases and results (before vs after fixes)</t>
  </si>
  <si>
    <t xml:space="preserve">Yellow = written and locked before the first run · Green = from the runs. Before = v1 code (baseline 2026-10-06 18:23, Hinglish (test file v1.1)) · After = the last FULL run of the bundle after the fixes (Hinglish; every test in one run; run id in the After - Run column).</t>
  </si>
  <si>
    <t xml:space="preserve">After = full 50-test run (2026-10-07 12:15), Hinglish.</t>
  </si>
  <si>
    <t xml:space="preserve">FAM-A-01</t>
  </si>
  <si>
    <t xml:space="preserve">Mummy ko sabzi ke liye 500 de diye galle se</t>
  </si>
  <si>
    <t xml:space="preserve">मम्मी को सब्ज़ी के लिए 500 दे दिए गल्ले से</t>
  </si>
  <si>
    <t xml:space="preserve">Gave Mummy 500 from the till for vegetables</t>
  </si>
  <si>
    <t xml:space="preserve">member_name=Mummy; transaction_type=kharcha; amount=500; date=T; purpose=sabzi</t>
  </si>
  <si>
    <t xml:space="preserve">Daily family kharcha, new member</t>
  </si>
  <si>
    <t xml:space="preserve">family_transaction(member_name=Mummy, transaction_type=kharcha, amount=500, date=2026-10-06)</t>
  </si>
  <si>
    <t xml:space="preserve">family_transaction(member_name=Mummy, transaction_type=kharcha, amount=500, date=2026-10-07)</t>
  </si>
  <si>
    <t xml:space="preserve">1215</t>
  </si>
  <si>
    <t xml:space="preserve">FAM-A-02</t>
  </si>
  <si>
    <t xml:space="preserve">Papa 2000 le gaye ghar ke kharche ke liye</t>
  </si>
  <si>
    <t xml:space="preserve">पापा 2000 ले गए घर के खर्चे के लिए</t>
  </si>
  <si>
    <t xml:space="preserve">Papa took 2000 for household expenses</t>
  </si>
  <si>
    <t xml:space="preserve">Seed member takes money → kharcha</t>
  </si>
  <si>
    <t xml:space="preserve">family_transaction(member_name=Papa, transaction_type=kharcha, amount=2000, date=2026-10-07)</t>
  </si>
  <si>
    <t xml:space="preserve">FAM-A-03</t>
  </si>
  <si>
    <t xml:space="preserve">Chhote bhai Rohit ki tuition fees 3500 bhar di</t>
  </si>
  <si>
    <t xml:space="preserve">छोटे भाई रोहित की ट्यूशन फीस 3500 भर दी</t>
  </si>
  <si>
    <t xml:space="preserve">Paid younger brother Rohit's tuition fees, 3500</t>
  </si>
  <si>
    <t xml:space="preserve">member_name=Rohit; transaction_type=kharcha; amount=3500; date=T; purpose=tuition fees; relation=bhai</t>
  </si>
  <si>
    <t xml:space="preserve">Name + relation</t>
  </si>
  <si>
    <t xml:space="preserve">family_transaction(member_name=Rohit, transaction_type=kharcha, amount=3500, date=2026-10-06)</t>
  </si>
  <si>
    <t xml:space="preserve">family_transaction(member_name=Rohit, transaction_type=kharcha, amount=3500, date=2026-10-07)</t>
  </si>
  <si>
    <t xml:space="preserve">FAM-A-04</t>
  </si>
  <si>
    <t xml:space="preserve">Ghar ka gas cylinder aaya 1100 ka, paise galle se diye</t>
  </si>
  <si>
    <t xml:space="preserve">घर का गैस सिलेंडर आया 1100 का, पैसे गल्ले से दिए</t>
  </si>
  <si>
    <t xml:space="preserve">The home's gas cylinder came for 1100, paid from the till</t>
  </si>
  <si>
    <t xml:space="preserve">member_name=Ghar; transaction_type=kharcha; amount=1100; date=T; purpose=gas cylinder</t>
  </si>
  <si>
    <t xml:space="preserve">Home spending, no person → Ghar, not record_expense</t>
  </si>
  <si>
    <t xml:space="preserve">record_family_transaction: asked missing_argument:record_employee_transaction ['employee_name']</t>
  </si>
  <si>
    <t xml:space="preserve">family_transaction(member_name=Ghar, transaction_type=kharcha, amount=1100, date=2026-10-07)</t>
  </si>
  <si>
    <t xml:space="preserve">FAM-A-05</t>
  </si>
  <si>
    <t xml:space="preserve">Beti ki school van ke 1200 diye aaj</t>
  </si>
  <si>
    <t xml:space="preserve">बेटी की स्कूल वैन के 1200 दिए आज</t>
  </si>
  <si>
    <t xml:space="preserve">Paid 1200 for my daughter's school van today</t>
  </si>
  <si>
    <t xml:space="preserve">member_name=Beti; transaction_type=kharcha; amount=1200; date=T; purpose=school van</t>
  </si>
  <si>
    <t xml:space="preserve">Relation word as member</t>
  </si>
  <si>
    <t xml:space="preserve">family_transaction(member_name=Beti, transaction_type=kharcha, amount=1200, date=2026-10-07)</t>
  </si>
  <si>
    <t xml:space="preserve">FAM-A-06</t>
  </si>
  <si>
    <t xml:space="preserve">Papa ne dukaan ke galle mein 10000 daal diye</t>
  </si>
  <si>
    <t xml:space="preserve">पापा ने दुकान के गल्ले में 10000 डाल दिए</t>
  </si>
  <si>
    <t xml:space="preserve">Papa put 10000 into the shop's till</t>
  </si>
  <si>
    <t xml:space="preserve">member_name=Papa; transaction_type=jama; amount=10000; date=T</t>
  </si>
  <si>
    <t xml:space="preserve">Money IN from family → jama</t>
  </si>
  <si>
    <t xml:space="preserve">family_transaction(member_name=Papa, transaction_type=jama, amount=10000, note=dukaan ke galle mein, date=2026-10-06)</t>
  </si>
  <si>
    <t xml:space="preserve">family_transaction(member_name=Papa, transaction_type=jama, amount=10000, note=dukaan ke galle mein, date=2026-10-07)</t>
  </si>
  <si>
    <t xml:space="preserve">FAM-A-07</t>
  </si>
  <si>
    <t xml:space="preserve">Mummy ki dawai 650 ki aayi, paise dukaan se gaye</t>
  </si>
  <si>
    <t xml:space="preserve">मम्मी की दवाई 650 की आई, पैसे दुकान से गए</t>
  </si>
  <si>
    <t xml:space="preserve">Mummy's medicine cost 650, the money went from the shop</t>
  </si>
  <si>
    <t xml:space="preserve">member_name=Mummy; transaction_type=kharcha; amount=650; date=T; purpose=dawai</t>
  </si>
  <si>
    <t xml:space="preserve">Kharcha with 'aayi' verb</t>
  </si>
  <si>
    <t xml:space="preserve">family_transaction(member_name=Mummy, transaction_type=jama, amount=650, date=2026-10-06)</t>
  </si>
  <si>
    <t xml:space="preserve">record_family_transaction: transaction_type jama≠kharcha</t>
  </si>
  <si>
    <t xml:space="preserve">family_transaction(member_name=Mummy, transaction_type=kharcha, amount=650, note=Paise dukaan se gaye, date=2026-10-07)</t>
  </si>
  <si>
    <t xml:space="preserve">FAM-A-08</t>
  </si>
  <si>
    <t xml:space="preserve">Bhai jo udhaar le gaya tha, uske 3000 aaj wapas aa gaye galle mein</t>
  </si>
  <si>
    <t xml:space="preserve">भाई जो उधार ले गया था, उसके 3000 आज वापस आ गए गल्ले में</t>
  </si>
  <si>
    <t xml:space="preserve">The 3000 my brother had borrowed came back into the till today</t>
  </si>
  <si>
    <t xml:space="preserve">member_name=Bhai; transaction_type=jama; amount=3000; date=T</t>
  </si>
  <si>
    <t xml:space="preserve">'le gaya tha' is past — today's money is IN → jama</t>
  </si>
  <si>
    <t xml:space="preserve">family_transaction(member_name=Bhai, transaction_type=jama, amount=3000, note=udhaar le gaya tha, date=2026-10-07)</t>
  </si>
  <si>
    <t xml:space="preserve">FAM-A-09</t>
  </si>
  <si>
    <t xml:space="preserve">Kal ghar ka ration 4200 ka aaya, galle se diya</t>
  </si>
  <si>
    <t xml:space="preserve">कल घर का राशन 4200 का आया, गल्ले से दिया</t>
  </si>
  <si>
    <t xml:space="preserve">Yesterday the home groceries came for 4200, paid from the till</t>
  </si>
  <si>
    <t xml:space="preserve">member_name=Ghar; transaction_type=kharcha; amount=4200; date=T-1; purpose=ration</t>
  </si>
  <si>
    <t xml:space="preserve">Home spending, yesterday</t>
  </si>
  <si>
    <t xml:space="preserve">asked location (destination) → Pata nahi; asked location (ghar) → stopped</t>
  </si>
  <si>
    <t xml:space="preserve">record_family_transaction: asked material_movement:LOCATION_TYPE_CONFIRMATION </t>
  </si>
  <si>
    <t xml:space="preserve">family_transaction(member_name=Ghar, transaction_type=kharcha, amount=4200, date=2026-10-06)</t>
  </si>
  <si>
    <t xml:space="preserve">FAM-A-10</t>
  </si>
  <si>
    <t xml:space="preserve">Mandir mein daan dena tha, Papa galle se 1100 nikal ke le gaye</t>
  </si>
  <si>
    <t xml:space="preserve">मंदिर में दान देना था, पापा गल्ले से 1100 निकाल के ले गए</t>
  </si>
  <si>
    <t xml:space="preserve">Had to give a donation at the temple, Papa took 1100 out of the till</t>
  </si>
  <si>
    <t xml:space="preserve">member_name=Papa; transaction_type=kharcha; amount=1100; date=T; purpose=mandir daan</t>
  </si>
  <si>
    <t xml:space="preserve">Purpose before the action</t>
  </si>
  <si>
    <t xml:space="preserve">record_family_transaction: no entry, no question (route=general_chat)</t>
  </si>
  <si>
    <t xml:space="preserve">family_transaction(member_name=Papa, transaction_type=kharcha, amount=1100, note=Mandir mein daan dena tha, date=2026-10-07)</t>
  </si>
  <si>
    <t xml:space="preserve">FAM-B-01</t>
  </si>
  <si>
    <t xml:space="preserve">Bhai ne 2000 liye the, aaj usme se 1500 wapas kiye</t>
  </si>
  <si>
    <t xml:space="preserve">भाई ने 2000 लिए थे, आज उसमें से 1500 वापस किए</t>
  </si>
  <si>
    <t xml:space="preserve">My brother had taken 2000, today he returned 1500 of it</t>
  </si>
  <si>
    <t xml:space="preserve">member_name=Bhai; transaction_type=jama; amount=1500; date=T</t>
  </si>
  <si>
    <t xml:space="preserve">Two amounts — only today's 1500 back, jama</t>
  </si>
  <si>
    <t xml:space="preserve">family_transaction(member_name=Bhai, transaction_type=kharcha, amount=2000, date=2026-10-06)</t>
  </si>
  <si>
    <t xml:space="preserve">record_family_transaction: transaction_type kharcha≠jama; amount 2000.0≠1500</t>
  </si>
  <si>
    <t xml:space="preserve">family_transaction(member_name=Bhai, transaction_type=jama, amount=1500, date=2026-10-07)</t>
  </si>
  <si>
    <t xml:space="preserve">EXTRA entry: record_family_transaction Bhai 1500.0</t>
  </si>
  <si>
    <t xml:space="preserve">FAM-B-02</t>
  </si>
  <si>
    <t xml:space="preserve">Beta bike mein petrol dalwane 300 le gaya</t>
  </si>
  <si>
    <t xml:space="preserve">बेटा बाइक में पेट्रोल डलवाने 300 ले गया</t>
  </si>
  <si>
    <t xml:space="preserve">My son took 300 to fill petrol in his bike</t>
  </si>
  <si>
    <t xml:space="preserve">member_name=Beta; transaction_type=kharcha; amount=300; date=T; purpose=petrol</t>
  </si>
  <si>
    <t xml:space="preserve">Petrol looks like fuel expense — it is family</t>
  </si>
  <si>
    <t xml:space="preserve">family_transaction(member_name=Beta, transaction_type=kharcha, amount=300, date=2026-10-07)</t>
  </si>
  <si>
    <t xml:space="preserve">EXTRA entry: record_expense  300.0</t>
  </si>
  <si>
    <t xml:space="preserve">FAM-B-03</t>
  </si>
  <si>
    <t xml:space="preserve">Ghar ki chhat pe pani ki tanki lagwayi 6500 ki, paise dukaan se</t>
  </si>
  <si>
    <t xml:space="preserve">घर की छत पे पानी की टंकी लगवाई 6500 की, पैसे दुकान से</t>
  </si>
  <si>
    <t xml:space="preserve">Got a water tank installed on the house roof for 6500, money from the shop</t>
  </si>
  <si>
    <t xml:space="preserve">member_name=Ghar; transaction_type=kharcha; amount=6500; date=T; purpose=pani ki tanki</t>
  </si>
  <si>
    <t xml:space="preserve">Tank looks like goods — it is home kharcha</t>
  </si>
  <si>
    <t xml:space="preserve">family_transaction(member_name=Ghar, transaction_type=kharcha, amount=6500, note=dukaan se paise, date=2026-10-06)</t>
  </si>
  <si>
    <t xml:space="preserve">family_transaction(member_name=Ghar, transaction_type=kharcha, amount=6500, note=Ghar ki chhat pe lagwayi, date=2026-10-07)</t>
  </si>
  <si>
    <t xml:space="preserve">FAM-B-04</t>
  </si>
  <si>
    <t xml:space="preserve">Ghar ke liye 10 bori cement aayi 3800 ki</t>
  </si>
  <si>
    <t xml:space="preserve">घर के लिए 10 बोरी सीमेंट आई 3800 की</t>
  </si>
  <si>
    <t xml:space="preserve">10 bags of cement came for the house, 3800</t>
  </si>
  <si>
    <t xml:space="preserve">member_name=Ghar; transaction_type=kharcha; amount=3800; date=T; purpose=cement</t>
  </si>
  <si>
    <t xml:space="preserve">Cement is trade goods, but for home — no stock / movement</t>
  </si>
  <si>
    <t xml:space="preserve">asked location (source) → Pata nahi; asked location (ghar) → stopped</t>
  </si>
  <si>
    <t xml:space="preserve">family_transaction(member_name=Ghar, transaction_type=kharcha, amount=3800, note=10 bori cement aayi, date=2026-10-07)</t>
  </si>
  <si>
    <t xml:space="preserve">FAM-B-05</t>
  </si>
  <si>
    <t xml:space="preserve">Mummy ne 5000 diye the business ke liye, aaj wo unko wapas kar diye</t>
  </si>
  <si>
    <t xml:space="preserve">मम्मी ने 5000 दिए थे बिज़नेस के लिए, आज वो उनको वापस कर दिए</t>
  </si>
  <si>
    <t xml:space="preserve">Mummy had given 5000 for the business, today I returned it to her</t>
  </si>
  <si>
    <t xml:space="preserve">member_name=Mummy; transaction_type=kharcha; amount=5000; date=T</t>
  </si>
  <si>
    <t xml:space="preserve">'Mummy ne diye the' is past — today money went OUT → kharcha</t>
  </si>
  <si>
    <t xml:space="preserve">asked amount (family_transaction)</t>
  </si>
  <si>
    <t xml:space="preserve">family_transaction(member_name=Mummy, transaction_type=kharcha, amount=5000, date=2026-10-07)</t>
  </si>
  <si>
    <t xml:space="preserve">FAM-B-06</t>
  </si>
  <si>
    <t xml:space="preserve">Rohit ne apni salary mein se 5000 galle mein daale</t>
  </si>
  <si>
    <t xml:space="preserve">रोहित ने अपनी सैलरी में से 5000 गल्ले में डाले</t>
  </si>
  <si>
    <t xml:space="preserve">Rohit put 5000 from his salary into the till</t>
  </si>
  <si>
    <t xml:space="preserve">member_name=Rohit; transaction_type=jama; amount=5000; date=T</t>
  </si>
  <si>
    <t xml:space="preserve">'salary' must not pull it to employee</t>
  </si>
  <si>
    <t xml:space="preserve">family_transaction(member_name=Rohit, transaction_type=jama, amount=5000, date=2026-10-06)</t>
  </si>
  <si>
    <t xml:space="preserve">family_transaction(member_name=Rohit, transaction_type=jama, amount=5000, date=2026-10-07)</t>
  </si>
  <si>
    <t xml:space="preserve">FAM-B-07</t>
  </si>
  <si>
    <t xml:space="preserve">Chhote ki fees ke 2500 aur ration ke 1800 diye</t>
  </si>
  <si>
    <t xml:space="preserve">छोटे की फीस के 2500 और राशन के 1800 दिए</t>
  </si>
  <si>
    <t xml:space="preserve">Paid 2500 for the youngest one's fees and 1800 for groceries</t>
  </si>
  <si>
    <t xml:space="preserve">member_name=Chhote; transaction_type=kharcha; amount=2500; date=T; purpose=fees</t>
  </si>
  <si>
    <t xml:space="preserve">Two family kharche in one line</t>
  </si>
  <si>
    <t xml:space="preserve">family_transaction(member_name=Chhote, transaction_type=kharcha, amount=2500, date=2026-10-07)</t>
  </si>
  <si>
    <t xml:space="preserve">member_name=Ghar; transaction_type=kharcha; amount=1800; date=T; purpose=ration</t>
  </si>
  <si>
    <t xml:space="preserve">family_transaction(member_name=Ghar, transaction_type=kharcha, amount=1800, date=2026-10-07)</t>
  </si>
  <si>
    <t xml:space="preserve">FAM-B-08</t>
  </si>
  <si>
    <t xml:space="preserve">Mummy ne kal 1500 rakhe the galle mein, aaj wahi wapas le gayi</t>
  </si>
  <si>
    <t xml:space="preserve">मम्मी ने कल 1500 रखे थे गल्ले में, आज वही वापस ले गई</t>
  </si>
  <si>
    <t xml:space="preserve">Mummy had put 1500 in the till yesterday, today she took the same back</t>
  </si>
  <si>
    <t xml:space="preserve">member_name=Mummy; transaction_type=jama; amount=1500; date=T-1</t>
  </si>
  <si>
    <t xml:space="preserve">Two days, two directions</t>
  </si>
  <si>
    <t xml:space="preserve">family_transaction(member_name=Mummy, transaction_type=jama, amount=1500, date=2026-10-06)</t>
  </si>
  <si>
    <t xml:space="preserve">member_name=Mummy; transaction_type=kharcha; amount=1500; date=T</t>
  </si>
  <si>
    <t xml:space="preserve">family_transaction(member_name=Mummy, transaction_type=kharcha, amount=1500, date=2026-10-07)</t>
  </si>
  <si>
    <t xml:space="preserve">FAM-B-09</t>
  </si>
  <si>
    <t xml:space="preserve">Shaadi mein shagun dena tha, 2100 galle se nikale</t>
  </si>
  <si>
    <t xml:space="preserve">शादी में शगुन देना था, 2100 गल्ले से निकाले</t>
  </si>
  <si>
    <t xml:space="preserve">Had to give a wedding gift, took 2100 out of the till</t>
  </si>
  <si>
    <t xml:space="preserve">member_name=Ghar; transaction_type=kharcha; amount=2100; date=T; purpose=shagun</t>
  </si>
  <si>
    <t xml:space="preserve">No member named → Ghar</t>
  </si>
  <si>
    <t xml:space="preserve">family_transaction(member_name=Ghar, transaction_type=kharcha, amount=2100, note=Shaadi mein shagun dena tha, date=2026-10-07)</t>
  </si>
  <si>
    <t xml:space="preserve">FAM-B-10</t>
  </si>
  <si>
    <t xml:space="preserve">Papa ke haath galle se 3000 gaye, ghar pe kaam tha</t>
  </si>
  <si>
    <t xml:space="preserve">पापा के हाथ गल्ले से 3000 गए, घर पे काम था</t>
  </si>
  <si>
    <t xml:space="preserve">3000 went from the till through Papa, there was work at home</t>
  </si>
  <si>
    <t xml:space="preserve">Unusual phrasing 'ke haath … gaye'</t>
  </si>
  <si>
    <t xml:space="preserve">family_transaction(member_name=Papa, transaction_type=kharcha, amount=3000, note=galle se, date=2026-10-06)</t>
  </si>
  <si>
    <t xml:space="preserve">family_transaction(member_name=Papa, transaction_type=kharcha, amount=3000, date=2026-10-07)</t>
  </si>
  <si>
    <t xml:space="preserve">FAM-C-01</t>
  </si>
  <si>
    <t xml:space="preserve">Papa kuch paise le gaye ghar ke liye, kitne bataye nahi</t>
  </si>
  <si>
    <t xml:space="preserve">पापा कुछ पैसे ले गए घर के लिए, कितने बताए नहीं</t>
  </si>
  <si>
    <t xml:space="preserve">Papa took some money for home, didn't say how much</t>
  </si>
  <si>
    <t xml:space="preserve">no entry (route=general_chat)</t>
  </si>
  <si>
    <t xml:space="preserve">no entry, no question (route=general_chat)</t>
  </si>
  <si>
    <t xml:space="preserve">FAM-C-02</t>
  </si>
  <si>
    <t xml:space="preserve">Ghar ke kharche ke 2000 diye, nahi nahi 2500 the</t>
  </si>
  <si>
    <t xml:space="preserve">घर के खर्चे के 2000 दिए, नहीं नहीं 2500 थे</t>
  </si>
  <si>
    <t xml:space="preserve">Gave 2000 for household expenses, no no, it was 2500</t>
  </si>
  <si>
    <t xml:space="preserve">member_name=Ghar; transaction_type=kharcha; amount=2500; date=T</t>
  </si>
  <si>
    <t xml:space="preserve">Self-correction — exactly ONE entry of 2500</t>
  </si>
  <si>
    <t xml:space="preserve">family_transaction(member_name=Ghar, transaction_type=kharcha, amount=2500, date=2026-10-06)</t>
  </si>
  <si>
    <t xml:space="preserve">family_transaction(member_name=Ghar, transaction_type=kharcha, amount=2500, date=2026-10-07)</t>
  </si>
  <si>
    <t xml:space="preserve">FAM-C-03</t>
  </si>
  <si>
    <t xml:space="preserve">Shaam ko Papa ne galla gin liya, hisab barabar tha</t>
  </si>
  <si>
    <t xml:space="preserve">शाम को पापा ने गल्ला गिन लिया, हिसाब बराबर था</t>
  </si>
  <si>
    <t xml:space="preserve">In the evening Papa counted the till, the accounts matched</t>
  </si>
  <si>
    <t xml:space="preserve">No money moved</t>
  </si>
  <si>
    <t xml:space="preserve">FAM-C-04</t>
  </si>
  <si>
    <t xml:space="preserve">Kal Mummy ko 2000 dene hain dawai ke liye</t>
  </si>
  <si>
    <t xml:space="preserve">कल मम्मी को 2000 देने हैं दवाई के लिए</t>
  </si>
  <si>
    <t xml:space="preserve">Have to give Mummy 2000 tomorrow for medicine</t>
  </si>
  <si>
    <t xml:space="preserve">FAM-C-05</t>
  </si>
  <si>
    <t xml:space="preserve">Mummy ko 1.5 hazaar diye sabzi ke liye</t>
  </si>
  <si>
    <t xml:space="preserve">मम्मी को 1.5 हज़ार दिए सब्ज़ी के लिए</t>
  </si>
  <si>
    <t xml:space="preserve">Gave Mummy 1.5 thousand for vegetables</t>
  </si>
  <si>
    <t xml:space="preserve">member_name=Mummy; transaction_type=kharcha; amount=1500; date=T; purpose=sabzi</t>
  </si>
  <si>
    <t xml:space="preserve">'1.5 hazaar' = 1500</t>
  </si>
  <si>
    <t xml:space="preserve">family_transaction(member_name=Mummy, transaction_type=kharcha, amount=1500, date=2026-10-06)</t>
  </si>
  <si>
    <t xml:space="preserve">FAM-C-06</t>
  </si>
  <si>
    <t xml:space="preserve">Rohit ki coaching ke paanch hazaar bhar diye</t>
  </si>
  <si>
    <t xml:space="preserve">रोहित की कोचिंग के पांच हज़ार भर दिए</t>
  </si>
  <si>
    <t xml:space="preserve">Paid five thousand for Rohit's coaching</t>
  </si>
  <si>
    <t xml:space="preserve">member_name=Rohit; transaction_type=kharcha; amount=5000; date=T; purpose=coaching</t>
  </si>
  <si>
    <t xml:space="preserve">Number in words</t>
  </si>
  <si>
    <t xml:space="preserve">family_transaction(member_name=Rohit, transaction_type=kharcha, amount=5000, date=2026-10-06)</t>
  </si>
  <si>
    <t xml:space="preserve">family_transaction(member_name=Rohit, transaction_type=kharcha, amount=5000, date=2026-10-07)</t>
  </si>
  <si>
    <t xml:space="preserve">FAM-C-07</t>
  </si>
  <si>
    <t xml:space="preserve">Ghar ke liye do-dhai hazaar nikale the</t>
  </si>
  <si>
    <t xml:space="preserve">घर के लिए दो-ढाई हज़ार निकाले थे</t>
  </si>
  <si>
    <t xml:space="preserve">Took out two to two-and-a-half thousand for home</t>
  </si>
  <si>
    <t xml:space="preserve">Exact amount?</t>
  </si>
  <si>
    <t xml:space="preserve">Range amount — must not pick 2000 or 2500 by itself</t>
  </si>
  <si>
    <t xml:space="preserve">entry made instead of asking: record_family_transaction</t>
  </si>
  <si>
    <t xml:space="preserve">FAM-C-08</t>
  </si>
  <si>
    <t xml:space="preserve">Papa ne subah 2000 liye aur shaam ko 2000 waapas rakh diye</t>
  </si>
  <si>
    <t xml:space="preserve">पापा ने सुबह 2000 लिए और शाम को 2000 वापस रख दिए</t>
  </si>
  <si>
    <t xml:space="preserve">Papa took 2000 in the morning and put 2000 back in the evening</t>
  </si>
  <si>
    <t xml:space="preserve">Same amount, opposite directions — both entries</t>
  </si>
  <si>
    <t xml:space="preserve">family_transaction(member_name=Papa, transaction_type=kharcha, amount=2000, note=subah, date=2026-10-06)</t>
  </si>
  <si>
    <t xml:space="preserve">family_transaction(member_name=Papa, transaction_type=kharcha, amount=2000, note=subah, date=2026-10-07)</t>
  </si>
  <si>
    <t xml:space="preserve">member_name=Papa; transaction_type=jama; amount=2000; date=T</t>
  </si>
  <si>
    <t xml:space="preserve">family_transaction(member_name=Papa, transaction_type=jama, amount=2000, note=shaam ko, date=2026-10-06)</t>
  </si>
  <si>
    <t xml:space="preserve">family_transaction(member_name=Papa, transaction_type=jama, amount=2000, note=shaam ko, date=2026-10-07)</t>
  </si>
  <si>
    <t xml:space="preserve">FAM-C-09</t>
  </si>
  <si>
    <t xml:space="preserve">Parso Papa 4000 le gaye the bijli ke bill ke liye</t>
  </si>
  <si>
    <t xml:space="preserve">परसों पापा 4000 ले गए थे बिजली के बिल के लिए</t>
  </si>
  <si>
    <t xml:space="preserve">Day before yesterday Papa took 4000 for the electricity bill</t>
  </si>
  <si>
    <t xml:space="preserve">member_name=Papa; transaction_type=kharcha; amount=4000; date=T-2; purpose=bijli bill</t>
  </si>
  <si>
    <t xml:space="preserve">Parso date; 'bijli bill' looks like an expense but Papa took the money</t>
  </si>
  <si>
    <t xml:space="preserve">family_transaction(member_name=Papa, transaction_type=kharcha, amount=4000, date=2026-10-04)</t>
  </si>
  <si>
    <t xml:space="preserve">family_transaction(member_name=Papa, transaction_type=kharcha, amount=4000, date=2026-10-05)</t>
  </si>
  <si>
    <t xml:space="preserve">FAM-C-10</t>
  </si>
  <si>
    <t xml:space="preserve">mumy ko 700 diye ghr ke liye</t>
  </si>
  <si>
    <t xml:space="preserve">मम्मि को 700 दिए घर के लिए</t>
  </si>
  <si>
    <t xml:space="preserve">gave mom 700 for home</t>
  </si>
  <si>
    <t xml:space="preserve">member_name=Mummy; transaction_type=kharcha; amount=700; date=T</t>
  </si>
  <si>
    <t xml:space="preserve">Spelling mistakes (mumy, ghr)</t>
  </si>
  <si>
    <t xml:space="preserve">family_transaction(member_name=mumy, transaction_type=kharcha, amount=700, date=2026-10-06)</t>
  </si>
  <si>
    <t xml:space="preserve">family_transaction(member_name=mumy, transaction_type=kharcha, amount=700, date=2026-10-07)</t>
  </si>
  <si>
    <t xml:space="preserve">FAM-D-01</t>
  </si>
  <si>
    <t xml:space="preserve">Gupta ji ka purana makaan todne ke liye 1.5 lakh mein le liya</t>
  </si>
  <si>
    <t xml:space="preserve">गुप्ता जी का पुराना मकान तोड़ने के लिए 1.5 लाख में ले लिया</t>
  </si>
  <si>
    <t xml:space="preserve">Bought Gupta ji's old house for demolition for 1.5 lakh</t>
  </si>
  <si>
    <t xml:space="preserve">Property / Site Owner</t>
  </si>
  <si>
    <t xml:space="preserve">record_purchase</t>
  </si>
  <si>
    <t xml:space="preserve">seller_name=Gupta ji; total_amount=150000; date=T</t>
  </si>
  <si>
    <t xml:space="preserve">'makaan' must not go to family — property purchase</t>
  </si>
  <si>
    <t xml:space="preserve">purchase()</t>
  </si>
  <si>
    <t xml:space="preserve">FAM-D-02</t>
  </si>
  <si>
    <t xml:space="preserve">Ram ne Sharma ji ke ghar maal utara, usko 500 diye</t>
  </si>
  <si>
    <t xml:space="preserve">राम ने शर्मा जी के घर माल उतारा, उसको 500 दिए</t>
  </si>
  <si>
    <t xml:space="preserve">Ram unloaded goods at Sharma ji's house, paid him 500</t>
  </si>
  <si>
    <t xml:space="preserve">'ghar' is a customer's place — employee payment</t>
  </si>
  <si>
    <t xml:space="preserve">record_employee_transaction: asked missing_argument:record_sale_transaction ['amount']</t>
  </si>
  <si>
    <t xml:space="preserve">FAM-D-03</t>
  </si>
  <si>
    <t xml:space="preserve">Papa ghar pe the, Suresh Traders ka aadmi unko 4000 pakda gaya</t>
  </si>
  <si>
    <t xml:space="preserve">पापा घर पे थे, सुरेश ट्रेडर्स का आदमी उनको 4000 पकड़ा गया</t>
  </si>
  <si>
    <t xml:space="preserve">Papa was at home, Suresh Traders' man handed him 4000</t>
  </si>
  <si>
    <t xml:space="preserve">Papa only received it — customer payment, not family</t>
  </si>
  <si>
    <t xml:space="preserve">sale_payment(customer_name=Suresh Traders, amount=4000, date=2026-10-07)</t>
  </si>
  <si>
    <t xml:space="preserve">FAM-D-04</t>
  </si>
  <si>
    <t xml:space="preserve">Shop ke meter ka bill aaya 1300, abhi nahi bhara</t>
  </si>
  <si>
    <t xml:space="preserve">दुकान के मीटर का बिल आया 1300, अभी नहीं भरा</t>
  </si>
  <si>
    <t xml:space="preserve">The shop's meter bill came, 1300, not paid yet</t>
  </si>
  <si>
    <t xml:space="preserve">category=misc; amount=1300; description=shop bijli bill; date=T</t>
  </si>
  <si>
    <t xml:space="preserve">Shop expense, unpaid → only expense</t>
  </si>
  <si>
    <t xml:space="preserve">expense(amount=1300, category=misc, note=abhi nahi bhara, date=2026-10-06)</t>
  </si>
  <si>
    <t xml:space="preserve">expense(amount=1300, category=misc, note=abhi nahi bhara, date=2026-10-07)</t>
  </si>
  <si>
    <t xml:space="preserve">FAM-D-05</t>
  </si>
  <si>
    <t xml:space="preserve">Beta SBI bhatte se 2000 eent le aaya, 12000 dene baaki hain</t>
  </si>
  <si>
    <t xml:space="preserve">बेटा एसबीआई भट्टे से 2000 ईंट ले आया, 12000 देने बाकी हैं</t>
  </si>
  <si>
    <t xml:space="preserve">My son brought 2000 bricks from SBI kiln, 12000 still to pay</t>
  </si>
  <si>
    <t xml:space="preserve">supplier_name=SBI Bhatta; item_name=eent; quantity=2000; amount=12000; date=T</t>
  </si>
  <si>
    <t xml:space="preserve">'Beta' only fetched — supplier purchase, not family</t>
  </si>
  <si>
    <t xml:space="preserve">supplier_transaction(supplier_name=SBI Bhatta, item_name=eent, quantity=2000, driver_name=Beta, date=2026-10-06)</t>
  </si>
  <si>
    <t xml:space="preserve">record_supplier_transaction: amount 0.0≠12000</t>
  </si>
  <si>
    <t xml:space="preserve">supplier_transaction(supplier_name=SBI Bhatta, item_name=eent, quantity=2000, amount=12000, note=12000 dene baaki hain, date=2026-10-07)</t>
  </si>
  <si>
    <t xml:space="preserve">FAM-D-06</t>
  </si>
  <si>
    <t xml:space="preserve">Mummy ne bola to 2 purani khidkiyan Sharma ji ko 3000 mein bech di, cash le liya</t>
  </si>
  <si>
    <t xml:space="preserve">मम्मी ने बोला तो 2 पुरानी खिड़कियां शर्मा जी को 3000 में बेच दीं, कैश ले लिया</t>
  </si>
  <si>
    <t xml:space="preserve">Mummy said so, so I sold 2 old windows to Sharma ji for 3000, took cash</t>
  </si>
  <si>
    <t xml:space="preserve">customer_name=Sharma ji; item_name=khidki; quantity=2; amount=3000; date=T</t>
  </si>
  <si>
    <t xml:space="preserve">Mummy only advised — sale + payment</t>
  </si>
  <si>
    <t xml:space="preserve">sale_transaction(customer_name=Sharma ji, item_name=purani khidkiyan, quantity=2, unit=piece, rate=1500, amount=3000, date=2026-10-06)</t>
  </si>
  <si>
    <t xml:space="preserve">sale_transaction(customer_name=Sharma ji, item_name=purani khidkiyan, quantity=2, unit=piece, amount=3000, date=2026-10-07)</t>
  </si>
  <si>
    <t xml:space="preserve">sale_payment(customer_name=Sharma ji, amount=3000, date=2026-10-06)</t>
  </si>
  <si>
    <t xml:space="preserve">sale_payment(customer_name=Sharma ji, amount=3000, date=2026-10-07)</t>
  </si>
  <si>
    <t xml:space="preserve">FAM-D-07</t>
  </si>
  <si>
    <t xml:space="preserve">Papa ne Kitanu ko 1000 advance de diya</t>
  </si>
  <si>
    <t xml:space="preserve">पापा ने कितनू को 1000 एडवांस दे दिया</t>
  </si>
  <si>
    <t xml:space="preserve">Papa gave Kitanu 1000 as advance</t>
  </si>
  <si>
    <t xml:space="preserve">employee_name=Kitanu; transaction_type=payment; amount=1000; date=T</t>
  </si>
  <si>
    <t xml:space="preserve">Papa is the giver — employee advance, no family entry</t>
  </si>
  <si>
    <t xml:space="preserve">employee_transaction(employee_name=Kitanu, transaction_type=payment, amount=1000, note=advance, date=2026-10-07)</t>
  </si>
  <si>
    <t xml:space="preserve">EXTRA entry: record_family_transaction Kitanu 1000.0</t>
  </si>
  <si>
    <t xml:space="preserve">FAM-D-08</t>
  </si>
  <si>
    <t xml:space="preserve">Ghar ka nahi, gudam ka kiraya 8000 diya</t>
  </si>
  <si>
    <t xml:space="preserve">घर का नहीं, गोदाम का किराया 8000 दिया</t>
  </si>
  <si>
    <t xml:space="preserve">Not the house, paid the warehouse rent of 8000</t>
  </si>
  <si>
    <t xml:space="preserve">category=rent; amount=8000; description=gudam kiraya; date=T</t>
  </si>
  <si>
    <t xml:space="preserve">Negated 'ghar ka' — shop rent expense</t>
  </si>
  <si>
    <t xml:space="preserve">expense(amount=8000, category=rent, date=2026-10-07)</t>
  </si>
  <si>
    <t xml:space="preserve">amount=8000; date=T</t>
  </si>
  <si>
    <t xml:space="preserve">expense_payment(amount=8000, date=2026-10-07)</t>
  </si>
  <si>
    <t xml:space="preserve">EXTRA entry: record_family_transaction Ghar 8000.0</t>
  </si>
  <si>
    <t xml:space="preserve">FAM-D-09</t>
  </si>
  <si>
    <t xml:space="preserve">Bhai gudam se 50 kadiyan Sharma ji ke ghar chhod aaya</t>
  </si>
  <si>
    <t xml:space="preserve">भाई गोदाम से 50 कड़ियां शर्मा जी के घर छोड़ आया</t>
  </si>
  <si>
    <t xml:space="preserve">My brother dropped 50 beams from the warehouse at Sharma ji's house</t>
  </si>
  <si>
    <t xml:space="preserve">For how much? (goods to a customer = sale, like CUS-C-02)</t>
  </si>
  <si>
    <t xml:space="preserve">Goods to a customer without price — ask amount; 'Bhai' only carried it (v1.1: user ke saath badla)</t>
  </si>
  <si>
    <t xml:space="preserve">FAM-D-10</t>
  </si>
  <si>
    <t xml:space="preserve">Papa Sohan ki aaj ki hazri laga gaye, pura din tha</t>
  </si>
  <si>
    <t xml:space="preserve">पापा सोहन की आज की हाज़िरी लगा गए, पूरा दिन था</t>
  </si>
  <si>
    <t xml:space="preserve">Papa marked Sohan's attendance for today, full day</t>
  </si>
  <si>
    <t xml:space="preserve">Attendance — Papa only marked it</t>
  </si>
  <si>
    <t xml:space="preserve">attendance(employee_name=Sohan, attendance=P, driving=absent, date=2026-10-07)</t>
  </si>
  <si>
    <t xml:space="preserve">FAM-E-01</t>
  </si>
  <si>
    <t xml:space="preserve">Papa 3000 le gaye ghar ke liye aur Ram ko 500 dihadi di</t>
  </si>
  <si>
    <t xml:space="preserve">पापा 3000 ले गए घर के लिए और राम को 500 दिहाड़ी दी</t>
  </si>
  <si>
    <t xml:space="preserve">Papa took 3000 for home and paid Ram 500 daily wage</t>
  </si>
  <si>
    <t xml:space="preserve">Family + employee</t>
  </si>
  <si>
    <t xml:space="preserve">employee_transaction(employee_name=Ram, transaction_type=payment, amount=500, note=dihadi di, date=2026-10-06)</t>
  </si>
  <si>
    <t xml:space="preserve">employee_transaction(employee_name=Ram, transaction_type=payment, amount=500, note=dihadi di, date=2026-10-07)</t>
  </si>
  <si>
    <t xml:space="preserve">FAM-E-02</t>
  </si>
  <si>
    <t xml:space="preserve">Mummy ko 2000 pakdaye, ye paisa Sharma ji wale 5000 mein se tha jo aaj mile</t>
  </si>
  <si>
    <t xml:space="preserve">मम्मी को 2000 पकड़ाए, ये पैसा शर्मा जी वाले 5000 में से था जो आज मिले</t>
  </si>
  <si>
    <t xml:space="preserve">Handed Mummy 2000, this was out of the 5000 received from Sharma ji today</t>
  </si>
  <si>
    <t xml:space="preserve">Customer payment + family kharcha, reversed order</t>
  </si>
  <si>
    <t xml:space="preserve">sale_payment(customer_name=Sharma ji, amount=5000, note=jo aaj mile, date=2026-10-06)</t>
  </si>
  <si>
    <t xml:space="preserve">sale_payment(customer_name=Sharma ji, amount=5000, date=2026-10-07)</t>
  </si>
  <si>
    <t xml:space="preserve">member_name=Mummy; transaction_type=kharcha; amount=2000; date=T</t>
  </si>
  <si>
    <t xml:space="preserve">family_transaction(member_name=Mummy, transaction_type=kharcha, amount=2000, date=2026-10-06)</t>
  </si>
  <si>
    <t xml:space="preserve">family_transaction(member_name=Mummy, transaction_type=kharcha, amount=2000, date=2026-10-07)</t>
  </si>
  <si>
    <t xml:space="preserve">FAM-E-03</t>
  </si>
  <si>
    <t xml:space="preserve">Gudam ka kiraya 6000 aur ghar ka kiraya 4000 diya</t>
  </si>
  <si>
    <t xml:space="preserve">गोदाम का किराया 6000 और घर का किराया 4000 दिया</t>
  </si>
  <si>
    <t xml:space="preserve">Paid warehouse rent 6000 and house rent 4000</t>
  </si>
  <si>
    <t xml:space="preserve">category=rent; amount=6000; description=gudam kiraya; date=T</t>
  </si>
  <si>
    <t xml:space="preserve">Shop rent vs home rent in one line</t>
  </si>
  <si>
    <t xml:space="preserve">expense(amount=6000, category=rent, date=2026-10-07)</t>
  </si>
  <si>
    <t xml:space="preserve">expense_payment(amount=6000, date=2026-10-06)</t>
  </si>
  <si>
    <t xml:space="preserve">expense_payment(amount=6000, date=2026-10-07)</t>
  </si>
  <si>
    <t xml:space="preserve">member_name=Ghar; transaction_type=kharcha; amount=4000; date=T; purpose=kiraya</t>
  </si>
  <si>
    <t xml:space="preserve">family_transaction(member_name=Ghar, transaction_type=kharcha, amount=4000, date=2026-10-06)</t>
  </si>
  <si>
    <t xml:space="preserve">family_transaction(member_name=Ghar, transaction_type=kharcha, amount=4000, date=2026-10-07)</t>
  </si>
  <si>
    <t xml:space="preserve">FAM-E-04</t>
  </si>
  <si>
    <t xml:space="preserve">Bhai ne galle mein 10000 daale, usi se SBI bhatte ka 5000 chuka diya</t>
  </si>
  <si>
    <t xml:space="preserve">भाई ने गल्ले में 10000 डाले, उसी से एसबीआई भट्टे का 5000 चुका दिया</t>
  </si>
  <si>
    <t xml:space="preserve">My brother put 10000 in the till, from that paid SBI kiln 5000</t>
  </si>
  <si>
    <t xml:space="preserve">member_name=Bhai; transaction_type=jama; amount=10000; date=T</t>
  </si>
  <si>
    <t xml:space="preserve">Family jama + supplier payment</t>
  </si>
  <si>
    <t xml:space="preserve">family_transaction(member_name=Bhai, transaction_type=jama, amount=10000, date=2026-10-06)</t>
  </si>
  <si>
    <t xml:space="preserve">family_transaction(member_name=Bhai, transaction_type=jama, amount=10000, date=2026-10-07)</t>
  </si>
  <si>
    <t xml:space="preserve">supplier_name=SBI Bhatta; amount=5000; date=T</t>
  </si>
  <si>
    <t xml:space="preserve">EXTRA entry: record_family_transaction Bhai 5000.0</t>
  </si>
  <si>
    <t xml:space="preserve">supplier_payment(supplier_name=SBI Bhatta, amount=5000, date=2026-10-07)</t>
  </si>
  <si>
    <t xml:space="preserve">FAM-E-05</t>
  </si>
  <si>
    <t xml:space="preserve">Kitanu ko 800 diye aur Beti ki fees ke 2200 bhi</t>
  </si>
  <si>
    <t xml:space="preserve">कितनू को 800 दिए और बेटी की फीस के 2200 भी</t>
  </si>
  <si>
    <t xml:space="preserve">Gave Kitanu 800 and also 2200 for my daughter's fees</t>
  </si>
  <si>
    <t xml:space="preserve">employee_name=Kitanu; transaction_type=payment; amount=800; date=T</t>
  </si>
  <si>
    <t xml:space="preserve">Employee + family, short second clause</t>
  </si>
  <si>
    <t xml:space="preserve">employee_transaction(employee_name=Kitanu, transaction_type=payment, amount=800, date=2026-10-06)</t>
  </si>
  <si>
    <t xml:space="preserve">employee_transaction(employee_name=Kitanu, transaction_type=payment, amount=800, date=2026-10-07)</t>
  </si>
  <si>
    <t xml:space="preserve">member_name=Beti; transaction_type=kharcha; amount=2200; date=T; purpose=fees</t>
  </si>
  <si>
    <t xml:space="preserve">family_transaction(member_name=Beti, transaction_type=kharcha, amount=2200, date=2026-10-06)</t>
  </si>
  <si>
    <t xml:space="preserve">family_transaction(member_name=Beti, transaction_type=kharcha, amount=2200, date=2026-10-07)</t>
  </si>
  <si>
    <t xml:space="preserve">FAM-E-06</t>
  </si>
  <si>
    <t xml:space="preserve">Tractor mein 600 ka diesel dalwaya aur ghar ki gaadi mein 400 ka petrol</t>
  </si>
  <si>
    <t xml:space="preserve">ट्रैक्टर में 600 का डीज़ल डलवाया और घर की गाड़ी में 400 का पेट्रोल</t>
  </si>
  <si>
    <t xml:space="preserve">Put 600 of diesel in the tractor and 400 of petrol in the home car</t>
  </si>
  <si>
    <t xml:space="preserve">category=fuel; amount=600; description=tractor diesel; date=T</t>
  </si>
  <si>
    <t xml:space="preserve">Business fuel vs home fuel in one line</t>
  </si>
  <si>
    <t xml:space="preserve">expense(amount=600, category=fuel, date=2026-10-07)</t>
  </si>
  <si>
    <t xml:space="preserve">amount=600; date=T</t>
  </si>
  <si>
    <t xml:space="preserve">expense_payment(amount=600, date=2026-10-06)</t>
  </si>
  <si>
    <t xml:space="preserve">expense_payment(amount=600, date=2026-10-07)</t>
  </si>
  <si>
    <t xml:space="preserve">member_name=Ghar; transaction_type=kharcha; amount=400; date=T; purpose=petrol</t>
  </si>
  <si>
    <t xml:space="preserve">family_transaction(member_name=Ghar, transaction_type=kharcha, amount=400, note=Ghar ki gaadi mein dalwaya, date=2026-10-06)</t>
  </si>
  <si>
    <t xml:space="preserve">family_transaction(member_name=Ghar, transaction_type=kharcha, amount=400, note=Ghar ki gaadi mein dalwaya, date=2026-10-07)</t>
  </si>
  <si>
    <t xml:space="preserve">FAM-E-07</t>
  </si>
  <si>
    <t xml:space="preserve">Suresh Traders ko 30 fatte 4500 mein diye, aur Papa ne 1000 le liye</t>
  </si>
  <si>
    <t xml:space="preserve">सुरेश ट्रेडर्स को 30 फट्टे 4500 में दिए, और पापा ने 1000 ले लिए</t>
  </si>
  <si>
    <t xml:space="preserve">Gave Suresh Traders 30 planks for 4500, and Papa took 1000</t>
  </si>
  <si>
    <t xml:space="preserve">customer_name=Suresh Traders; item_name=fatta; quantity=30; amount=4500; date=T</t>
  </si>
  <si>
    <t xml:space="preserve">Sale (unpaid) + family — Papa's 1000 is not a sale payment</t>
  </si>
  <si>
    <t xml:space="preserve">sale_transaction(customer_name=Suresh Traders, item_name=fatte, quantity=30, unit=piece, amount=4500, date=2026-10-06)</t>
  </si>
  <si>
    <t xml:space="preserve">sale_transaction(customer_name=Suresh Traders, item_name=fatte, quantity=30, amount=4500, date=2026-10-07)</t>
  </si>
  <si>
    <t xml:space="preserve">family_transaction(member_name=Papa, transaction_type=kharcha, amount=1000, date=2026-10-06)</t>
  </si>
  <si>
    <t xml:space="preserve">family_transaction(member_name=Papa, transaction_type=kharcha, amount=1000, date=2026-10-07)</t>
  </si>
  <si>
    <t xml:space="preserve">FAM-E-08</t>
  </si>
  <si>
    <t xml:space="preserve">Mummy ne 2000 galle mein daale, usme se Sohan ko 600 dihadi di</t>
  </si>
  <si>
    <t xml:space="preserve">मम्मी ने 2000 गल्ले में डाले, उसमें से सोहन को 600 दिहाड़ी दी</t>
  </si>
  <si>
    <t xml:space="preserve">Mummy put 2000 in the till, from it paid Sohan 600 daily wage</t>
  </si>
  <si>
    <t xml:space="preserve">member_name=Mummy; transaction_type=jama; amount=2000; date=T</t>
  </si>
  <si>
    <t xml:space="preserve">Family jama + employee</t>
  </si>
  <si>
    <t xml:space="preserve">family_transaction(member_name=Mummy, transaction_type=jama, amount=2000, date=2026-10-06)</t>
  </si>
  <si>
    <t xml:space="preserve">family_transaction(member_name=Mummy, transaction_type=jama, amount=2000, date=2026-10-07)</t>
  </si>
  <si>
    <t xml:space="preserve">employee_name=Sohan; transaction_type=payment; amount=600; date=T</t>
  </si>
  <si>
    <t xml:space="preserve">EXTRA entry: record_family_transaction Sohan 600.0</t>
  </si>
  <si>
    <t xml:space="preserve">employee_transaction(employee_name=Sohan, transaction_type=payment, amount=600, date=2026-10-07)</t>
  </si>
  <si>
    <t xml:space="preserve">FAM-E-09</t>
  </si>
  <si>
    <t xml:space="preserve">Kal ghar ka ration 3500 ka aaya aur aaj dukaan ka 900 ka bijli bill bhara</t>
  </si>
  <si>
    <t xml:space="preserve">कल घर का राशन 3500 का आया और आज दुकान का 900 का बिजली बिल भरा</t>
  </si>
  <si>
    <t xml:space="preserve">Yesterday home groceries came for 3500 and today paid the shop's electricity bill of 900</t>
  </si>
  <si>
    <t xml:space="preserve">member_name=Ghar; transaction_type=kharcha; amount=3500; date=T-1; purpose=ration</t>
  </si>
  <si>
    <t xml:space="preserve">Home vs shop, two dates</t>
  </si>
  <si>
    <t xml:space="preserve">family_transaction(member_name=Ghar, transaction_type=jama, amount=3500, date=2026-10-05)</t>
  </si>
  <si>
    <t xml:space="preserve">family_transaction(member_name=Ghar, transaction_type=kharcha, amount=3500, date=2026-10-06)</t>
  </si>
  <si>
    <t xml:space="preserve">category=misc; amount=900; description=dukaan bijli bill; date=T</t>
  </si>
  <si>
    <t xml:space="preserve">expense(amount=900, category=misc, date=2026-10-06)</t>
  </si>
  <si>
    <t xml:space="preserve">expense(amount=900, category=misc, date=2026-10-07)</t>
  </si>
  <si>
    <t xml:space="preserve">amount=900; date=T</t>
  </si>
  <si>
    <t xml:space="preserve">expense_payment(amount=900, date=2026-10-06)</t>
  </si>
  <si>
    <t xml:space="preserve">expense_payment(amount=900, date=2026-10-07)</t>
  </si>
  <si>
    <t xml:space="preserve">FAM-E-10</t>
  </si>
  <si>
    <t xml:space="preserve">Rohit ne 5000 wapas kiye aur Papa 1500 le gaye dawai ke liye</t>
  </si>
  <si>
    <t xml:space="preserve">रोहित ने 5000 वापस किए और पापा 1500 ले गए दवाई के लिए</t>
  </si>
  <si>
    <t xml:space="preserve">Rohit returned 5000 and Papa took 1500 for medicine</t>
  </si>
  <si>
    <t xml:space="preserve">Two family entries, opposite directions</t>
  </si>
  <si>
    <t xml:space="preserve">member_name=Papa; transaction_type=kharcha; amount=1500; date=T; purpose=dawai</t>
  </si>
  <si>
    <t xml:space="preserve">family_transaction(member_name=Papa, transaction_type=kharcha, amount=1500, date=2026-10-06)</t>
  </si>
  <si>
    <t xml:space="preserve">family_transaction(member_name=Papa, transaction_type=kharcha, amount=1500, date=2026-10-07)</t>
  </si>
  <si>
    <t xml:space="preserve">Stock bundle — test cases and results (before vs after fixes)</t>
  </si>
  <si>
    <t xml:space="preserve">Yellow = written and locked before the first run · Green = from the runs. Before = v1 code (baseline 2026-10-08 06:19, Hinglish) · After = the last FULL run of the bundle after the fixes (Hinglish; every test in one run; run id in the After - Run column).</t>
  </si>
  <si>
    <t xml:space="preserve">After = full 50-test run (2026-10-08 07:07), Hinglish. E-05 crashed in this run (a bug from a Phase-3 change); fixed at 07:16 and E-05 then passed — the sheet keeps the full-run result.</t>
  </si>
  <si>
    <t xml:space="preserve">STK-A-01</t>
  </si>
  <si>
    <t xml:space="preserve">Shop pe 40 fatte gudam se aaye</t>
  </si>
  <si>
    <t xml:space="preserve">दुकान पे 40 फट्टे गोदाम से आए</t>
  </si>
  <si>
    <t xml:space="preserve">40 planks came to the shop from the warehouse</t>
  </si>
  <si>
    <t xml:space="preserve">item_name=fatta; quantity=40; source_name=gudam; destination_name=shop; date=T</t>
  </si>
  <si>
    <t xml:space="preserve">Simple movement, destination first</t>
  </si>
  <si>
    <t xml:space="preserve">material_movement(item_name=fatte, quantity=40, date=2026-10-08)</t>
  </si>
  <si>
    <t xml:space="preserve">0707</t>
  </si>
  <si>
    <t xml:space="preserve">STK-A-02</t>
  </si>
  <si>
    <t xml:space="preserve">6 khidkiyan dukaan pe rakhwayi, gudam wali</t>
  </si>
  <si>
    <t xml:space="preserve">6 खिड़कियां दुकान पे रखवाईं, गोदाम वाली</t>
  </si>
  <si>
    <t xml:space="preserve">Had 6 windows from the warehouse placed at the shop</t>
  </si>
  <si>
    <t xml:space="preserve">item_name=khidki; quantity=6; source_name=gudam; destination_name=shop; date=T</t>
  </si>
  <si>
    <t xml:space="preserve">Source as 'gudam wali' at the end</t>
  </si>
  <si>
    <t xml:space="preserve">material_movement(item_name=khidki, quantity=6, unit=piece, date=2026-10-08)</t>
  </si>
  <si>
    <t xml:space="preserve">STK-A-03</t>
  </si>
  <si>
    <t xml:space="preserve">Shop ki 10 kadiyan gudam pahunchi</t>
  </si>
  <si>
    <t xml:space="preserve">दुकान की 10 कड़ियां गोदाम पहुंचीं</t>
  </si>
  <si>
    <t xml:space="preserve">10 beams from the shop reached the warehouse</t>
  </si>
  <si>
    <t xml:space="preserve">item_name=kadi; quantity=10; source_name=shop; destination_name=gudam; date=T</t>
  </si>
  <si>
    <t xml:space="preserve">Shop → gudam</t>
  </si>
  <si>
    <t xml:space="preserve">material_movement(item_name=kadiyan, quantity=10, unit=piece, date=2026-10-08)</t>
  </si>
  <si>
    <t xml:space="preserve">STK-A-04</t>
  </si>
  <si>
    <t xml:space="preserve">Gudam mein 25 eent tooti mili</t>
  </si>
  <si>
    <t xml:space="preserve">गोदाम में 25 ईंट टूटी मिलीं</t>
  </si>
  <si>
    <t xml:space="preserve">Found 25 bricks broken in the warehouse</t>
  </si>
  <si>
    <t xml:space="preserve">record_adjustment</t>
  </si>
  <si>
    <t xml:space="preserve">location=gudam; item_name=eent; quantity_change=-25; date=T</t>
  </si>
  <si>
    <t xml:space="preserve">Damage → negative adjustment</t>
  </si>
  <si>
    <t xml:space="preserve">adjustment(item_name=eent, unit=piece, note=tooti mili)</t>
  </si>
  <si>
    <t xml:space="preserve">STK-A-05</t>
  </si>
  <si>
    <t xml:space="preserve">Shop pe 2 chaukhat kam hain</t>
  </si>
  <si>
    <t xml:space="preserve">दुकान पे 2 चौखट कम हैं</t>
  </si>
  <si>
    <t xml:space="preserve">2 door frames are short at the shop</t>
  </si>
  <si>
    <t xml:space="preserve">location=shop; item_name=chaukhat; quantity_change=-2; date=T</t>
  </si>
  <si>
    <t xml:space="preserve">Shortage → negative adjustment</t>
  </si>
  <si>
    <t xml:space="preserve">adjustment(item_name=chaukhat, unit=piece)</t>
  </si>
  <si>
    <t xml:space="preserve">STK-A-06</t>
  </si>
  <si>
    <t xml:space="preserve">Gudam mein 5 darwaze zyada nikle</t>
  </si>
  <si>
    <t xml:space="preserve">गोदाम में 5 दरवाज़े ज़्यादा निकले</t>
  </si>
  <si>
    <t xml:space="preserve">5 extra doors turned up in the warehouse</t>
  </si>
  <si>
    <t xml:space="preserve">location=gudam; item_name=darwaza; quantity_change=5; date=T</t>
  </si>
  <si>
    <t xml:space="preserve">Extra → positive adjustment</t>
  </si>
  <si>
    <t xml:space="preserve">adjustment(item_name=darwaze, unit=piece)</t>
  </si>
  <si>
    <t xml:space="preserve">STK-A-07</t>
  </si>
  <si>
    <t xml:space="preserve">Gudam mein do mazdooron ne saara maal set kiya aaj</t>
  </si>
  <si>
    <t xml:space="preserve">गोदाम में दो मज़दूरों ने सारा माल सेट किया आज</t>
  </si>
  <si>
    <t xml:space="preserve">Two labourers arranged all the goods in the warehouse today</t>
  </si>
  <si>
    <t xml:space="preserve">location_type=gudam; description=maal set kiya; date=T; labour_count=2</t>
  </si>
  <si>
    <t xml:space="preserve">Work log with labour count in words</t>
  </si>
  <si>
    <t xml:space="preserve">STK-A-08</t>
  </si>
  <si>
    <t xml:space="preserve">Shop pe aaj rang-rogan ka kaam hua</t>
  </si>
  <si>
    <t xml:space="preserve">दुकान पे आज रंग-रोगन का काम हुआ</t>
  </si>
  <si>
    <t xml:space="preserve">Painting work was done at the shop today</t>
  </si>
  <si>
    <t xml:space="preserve">location_type=shop; description=rang-rogan; date=T</t>
  </si>
  <si>
    <t xml:space="preserve">Work log at shop</t>
  </si>
  <si>
    <t xml:space="preserve">STK-A-09</t>
  </si>
  <si>
    <t xml:space="preserve">Kal shop ke liye 100 eent nikali gudam se</t>
  </si>
  <si>
    <t xml:space="preserve">कल दुकान के लिए 100 ईंट निकालीं गोदाम से</t>
  </si>
  <si>
    <t xml:space="preserve">Yesterday took out 100 bricks from the warehouse for the shop</t>
  </si>
  <si>
    <t xml:space="preserve">item_name=eent; quantity=100; source_name=gudam; destination_name=shop; date=T-1</t>
  </si>
  <si>
    <t xml:space="preserve">Movement, yesterday</t>
  </si>
  <si>
    <t xml:space="preserve">material_movement(item_name=eent, quantity=100, date=2026-10-07)</t>
  </si>
  <si>
    <t xml:space="preserve">STK-A-10</t>
  </si>
  <si>
    <t xml:space="preserve">Gudam mein 3 gate jung lagne se bekaar ho gaye</t>
  </si>
  <si>
    <t xml:space="preserve">गोदाम में 3 गेट जंग लगने से बेकार हो गए</t>
  </si>
  <si>
    <t xml:space="preserve">3 gates in the warehouse got ruined by rust</t>
  </si>
  <si>
    <t xml:space="preserve">location=gudam; item_name=gate; quantity_change=-3; date=T</t>
  </si>
  <si>
    <t xml:space="preserve">Damage with reason</t>
  </si>
  <si>
    <t xml:space="preserve">adjustment(item_name=gate, unit=piece, note=jung lagne se bekaar ho gaye)</t>
  </si>
  <si>
    <t xml:space="preserve">STK-B-01</t>
  </si>
  <si>
    <t xml:space="preserve">Subah tractor mein 300 eent bhar ke dukaan pahuncha di gudam wali</t>
  </si>
  <si>
    <t xml:space="preserve">सुबह ट्रैक्टर में 300 ईंट भर के दुकान पहुंचा दीं गोदाम वाली</t>
  </si>
  <si>
    <t xml:space="preserve">In the morning loaded 300 bricks from the warehouse on the tractor and delivered them to the shop</t>
  </si>
  <si>
    <t xml:space="preserve">item_name=eent; quantity=300; source_name=gudam; destination_name=shop; date=T</t>
  </si>
  <si>
    <t xml:space="preserve">Source at the end ('gudam wali'), tractor mention</t>
  </si>
  <si>
    <t xml:space="preserve">material_movement(item_name=eent, quantity=300, date=2026-10-08)</t>
  </si>
  <si>
    <t xml:space="preserve">STK-B-02</t>
  </si>
  <si>
    <t xml:space="preserve">Shop se 20 kadiyan wapas gudam mein rakhwa di</t>
  </si>
  <si>
    <t xml:space="preserve">दुकान से 20 कड़ियां वापस गोदाम में रखवा दीं</t>
  </si>
  <si>
    <t xml:space="preserve">Had 20 beams put back in the warehouse from the shop</t>
  </si>
  <si>
    <t xml:space="preserve">item_name=kadi; quantity=20; source_name=shop; destination_name=gudam; date=T</t>
  </si>
  <si>
    <t xml:space="preserve">'wapas' must not look like a return/sale</t>
  </si>
  <si>
    <t xml:space="preserve">material_movement(item_name=kadiyan, quantity=20, date=2026-10-08)</t>
  </si>
  <si>
    <t xml:space="preserve">STK-B-03</t>
  </si>
  <si>
    <t xml:space="preserve">Gudam mein 50 eent toot gayi aaj utarte waqt</t>
  </si>
  <si>
    <t xml:space="preserve">गोदाम में 50 ईंट टूट गईं आज उतारते वक्त</t>
  </si>
  <si>
    <t xml:space="preserve">50 bricks broke in the warehouse today while unloading</t>
  </si>
  <si>
    <t xml:space="preserve">location=gudam; item_name=eent; quantity_change=-50; date=T</t>
  </si>
  <si>
    <t xml:space="preserve">'utarte waqt' must not become a movement</t>
  </si>
  <si>
    <t xml:space="preserve">adjustment(item_name=eent, unit=piece, note=utarte waqt)</t>
  </si>
  <si>
    <t xml:space="preserve">STK-B-04</t>
  </si>
  <si>
    <t xml:space="preserve">Shop pe ginti ki to 4 darwaze kam nikle</t>
  </si>
  <si>
    <t xml:space="preserve">दुकान पे गिनती की तो 4 दरवाज़े कम निकले</t>
  </si>
  <si>
    <t xml:space="preserve">Counted at the shop and 4 doors were short</t>
  </si>
  <si>
    <t xml:space="preserve">location=shop; item_name=darwaza; quantity_change=-4; date=T</t>
  </si>
  <si>
    <t xml:space="preserve">Count correction</t>
  </si>
  <si>
    <t xml:space="preserve">STK-B-05</t>
  </si>
  <si>
    <t xml:space="preserve">Aaj gudam ki safai karwayi, 3 labour lage the</t>
  </si>
  <si>
    <t xml:space="preserve">आज गोदाम की सफाई करवाई, 3 लेबर लगे थे</t>
  </si>
  <si>
    <t xml:space="preserve">Got the warehouse cleaned today, 3 labourers worked</t>
  </si>
  <si>
    <t xml:space="preserve">location_type=gudam; description=safai; date=T; labour_count=3</t>
  </si>
  <si>
    <t xml:space="preserve">Labour must not become an employee payment</t>
  </si>
  <si>
    <t xml:space="preserve">STK-B-06</t>
  </si>
  <si>
    <t xml:space="preserve">Model Town wali site pe aaj pichli deewar todi</t>
  </si>
  <si>
    <t xml:space="preserve">मॉडल टाउन वाली साइट पे आज पिछली दीवार तोड़ी</t>
  </si>
  <si>
    <t xml:space="preserve">Broke the back wall at the Model Town site today</t>
  </si>
  <si>
    <t xml:space="preserve">location_type=site; description=deewar todi; date=T; location_name=Model Town</t>
  </si>
  <si>
    <t xml:space="preserve">'todi' must not become a demolition deal</t>
  </si>
  <si>
    <t xml:space="preserve">STK-B-07</t>
  </si>
  <si>
    <t xml:space="preserve">Gudam mein ginti karte waqt 10 bori cement zyada mili</t>
  </si>
  <si>
    <t xml:space="preserve">गोदाम में गिनती करते वक्त 10 बोरी सीमेंट ज़्यादा मिली</t>
  </si>
  <si>
    <t xml:space="preserve">While counting in the warehouse found 10 extra bags of cement</t>
  </si>
  <si>
    <t xml:space="preserve">location=gudam; item_name=cement; quantity_change=10; date=T</t>
  </si>
  <si>
    <t xml:space="preserve">Positive adjustment</t>
  </si>
  <si>
    <t xml:space="preserve">adjustment(item_name=cement, unit=bag, note=ginti karte waqt zyada mili)</t>
  </si>
  <si>
    <t xml:space="preserve">STK-B-08</t>
  </si>
  <si>
    <t xml:space="preserve">Model Town ke kaam se tractor 2000 eent laya, sab gudam mein khali kar di</t>
  </si>
  <si>
    <t xml:space="preserve">मॉडल टाउन के काम से ट्रैक्टर 2000 ईंट लाया, सब गोदाम में खाली कर दीं</t>
  </si>
  <si>
    <t xml:space="preserve">The tractor brought 2000 bricks from the Model Town job, unloaded all in the warehouse</t>
  </si>
  <si>
    <t xml:space="preserve">item_name=eent; quantity=2000; source_name=Model Town; destination_name=gudam; date=T</t>
  </si>
  <si>
    <t xml:space="preserve">Site → gudam, not a purchase/sale</t>
  </si>
  <si>
    <t xml:space="preserve">material_movement(item_name=eent, quantity=2000, date=2026-10-08)</t>
  </si>
  <si>
    <t xml:space="preserve">STK-B-09</t>
  </si>
  <si>
    <t xml:space="preserve">Kal shop se 15 fatte gudam bhej diye the</t>
  </si>
  <si>
    <t xml:space="preserve">कल दुकान से 15 फट्टे गोदाम भेज दिए थे</t>
  </si>
  <si>
    <t xml:space="preserve">Yesterday sent 15 planks from the shop to the warehouse</t>
  </si>
  <si>
    <t xml:space="preserve">item_name=fatta; quantity=15; source_name=shop; destination_name=gudam; date=T-1</t>
  </si>
  <si>
    <t xml:space="preserve">Past-date movement</t>
  </si>
  <si>
    <t xml:space="preserve">material_movement(item_name=fatte, quantity=15, date=2026-10-07)</t>
  </si>
  <si>
    <t xml:space="preserve">STK-B-10</t>
  </si>
  <si>
    <t xml:space="preserve">Barish mein gudam ki 5 khidkiyan kharab ho gayi</t>
  </si>
  <si>
    <t xml:space="preserve">बारिश में गोदाम की 5 खिड़कियां खराब हो गईं</t>
  </si>
  <si>
    <t xml:space="preserve">5 windows in the warehouse got spoiled in the rain</t>
  </si>
  <si>
    <t xml:space="preserve">location=gudam; item_name=khidki; quantity_change=-5; date=T</t>
  </si>
  <si>
    <t xml:space="preserve">Reason first, damage</t>
  </si>
  <si>
    <t xml:space="preserve">adjustment(item_name=khidkiyan, unit=piece, note=Barish mein)</t>
  </si>
  <si>
    <t xml:space="preserve">STK-C-01</t>
  </si>
  <si>
    <t xml:space="preserve">Kuch eent dukaan pe pahunchi hain gudam se, ginti yaad nahi</t>
  </si>
  <si>
    <t xml:space="preserve">कुछ ईंट दुकान पे पहुंची हैं गोदाम से, गिनती याद नहीं</t>
  </si>
  <si>
    <t xml:space="preserve">Some bricks reached the shop from the warehouse, don't remember the count</t>
  </si>
  <si>
    <t xml:space="preserve">How many?</t>
  </si>
  <si>
    <t xml:space="preserve">No quantity — must ask</t>
  </si>
  <si>
    <t xml:space="preserve">asked quantity (material_movement)</t>
  </si>
  <si>
    <t xml:space="preserve">STK-C-02</t>
  </si>
  <si>
    <t xml:space="preserve">Shop pe abhi kitni eent padi hain?</t>
  </si>
  <si>
    <t xml:space="preserve">दुकान पे अभी कितनी ईंट पड़ी हैं?</t>
  </si>
  <si>
    <t xml:space="preserve">How many bricks are lying at the shop right now?</t>
  </si>
  <si>
    <t xml:space="preserve">Question — report, not an entry</t>
  </si>
  <si>
    <t xml:space="preserve">STK-C-03</t>
  </si>
  <si>
    <t xml:space="preserve">Kal 200 eent gudam se dukaan bhejni hai</t>
  </si>
  <si>
    <t xml:space="preserve">कल 200 ईंट गोदाम से दुकान भेजनी है</t>
  </si>
  <si>
    <t xml:space="preserve">Have to send 200 bricks from the warehouse to the shop tomorrow</t>
  </si>
  <si>
    <t xml:space="preserve">Future plan</t>
  </si>
  <si>
    <t xml:space="preserve">material_movement(item_name=eent, quantity=200, date=2026-10-07)</t>
  </si>
  <si>
    <t xml:space="preserve">entry made: record_material_movement</t>
  </si>
  <si>
    <t xml:space="preserve">STK-C-04</t>
  </si>
  <si>
    <t xml:space="preserve">Gudam ki tooti eent 30 likhna, nahi nahi 40 thi</t>
  </si>
  <si>
    <t xml:space="preserve">गोदाम की टूटी ईंट 30 लिखना, नहीं नहीं 40 थीं</t>
  </si>
  <si>
    <t xml:space="preserve">Write 30 broken bricks in the warehouse, no no, it was 40</t>
  </si>
  <si>
    <t xml:space="preserve">location=gudam; item_name=eent; quantity_change=-40; date=T</t>
  </si>
  <si>
    <t xml:space="preserve">Self-correction — one adjustment of −40</t>
  </si>
  <si>
    <t xml:space="preserve">adjustment(item_name=eent, unit=piece)</t>
  </si>
  <si>
    <t xml:space="preserve">STK-C-05</t>
  </si>
  <si>
    <t xml:space="preserve">Dukaan pe dhai sau eent gudam se aa gayi</t>
  </si>
  <si>
    <t xml:space="preserve">दुकान पे ढाई सौ ईंट गोदाम से आ गईं</t>
  </si>
  <si>
    <t xml:space="preserve">Two hundred fifty bricks came to the shop from the warehouse</t>
  </si>
  <si>
    <t xml:space="preserve">item_name=eent; quantity=250; source_name=gudam; destination_name=shop; date=T</t>
  </si>
  <si>
    <t xml:space="preserve">material_movement(item_name=eent, quantity=250, date=2026-10-08)</t>
  </si>
  <si>
    <t xml:space="preserve">STK-C-06</t>
  </si>
  <si>
    <t xml:space="preserve">Gudam mein 2 ton loha kam nikla</t>
  </si>
  <si>
    <t xml:space="preserve">गोदाम में 2 टन लोहा कम निकला</t>
  </si>
  <si>
    <t xml:space="preserve">2 tons of iron short in the warehouse</t>
  </si>
  <si>
    <t xml:space="preserve">location=gudam; item_name=loha; quantity_change=-2; date=T; unit=ton</t>
  </si>
  <si>
    <t xml:space="preserve">Ton unit (−2000 kg also correct)</t>
  </si>
  <si>
    <t xml:space="preserve">adjustment(item_name=loha, unit=ton)</t>
  </si>
  <si>
    <t xml:space="preserve">STK-C-07</t>
  </si>
  <si>
    <t xml:space="preserve">dukan pr gudm se 12 kadi aai</t>
  </si>
  <si>
    <t xml:space="preserve">दुकन पर गोदम से 12 कड़ी आई</t>
  </si>
  <si>
    <t xml:space="preserve">12 beams came to the shop from the warehouse</t>
  </si>
  <si>
    <t xml:space="preserve">item_name=kadi; quantity=12; source_name=gudam; destination_name=shop; date=T</t>
  </si>
  <si>
    <t xml:space="preserve">Spelling mistakes</t>
  </si>
  <si>
    <t xml:space="preserve">asked location (gudm) → stopped</t>
  </si>
  <si>
    <t xml:space="preserve">record_material_movement: asked material_movement:LOCATION_TYPE_CONFIRMATION </t>
  </si>
  <si>
    <t xml:space="preserve">material_movement(item_name=kadi, quantity=12, date=2026-10-08)</t>
  </si>
  <si>
    <t xml:space="preserve">STK-C-08</t>
  </si>
  <si>
    <t xml:space="preserve">Gudam mein sab theek tha, ginti barabar nikli</t>
  </si>
  <si>
    <t xml:space="preserve">गोदाम में सब ठीक था, गिनती बराबर निकली</t>
  </si>
  <si>
    <t xml:space="preserve">Everything was fine in the warehouse, the count matched</t>
  </si>
  <si>
    <t xml:space="preserve">No change</t>
  </si>
  <si>
    <t xml:space="preserve">asked location, item_name (adjustment)</t>
  </si>
  <si>
    <t xml:space="preserve">STK-C-09</t>
  </si>
  <si>
    <t xml:space="preserve">Gudam ka thoda maal dukaan pe le gaye</t>
  </si>
  <si>
    <t xml:space="preserve">गोदाम का थोड़ा माल दुकान पे ले गए</t>
  </si>
  <si>
    <t xml:space="preserve">Took some goods from the warehouse to the shop</t>
  </si>
  <si>
    <t xml:space="preserve">Which item, how many?</t>
  </si>
  <si>
    <t xml:space="preserve">No item, no quantity</t>
  </si>
  <si>
    <t xml:space="preserve">STK-C-10</t>
  </si>
  <si>
    <t xml:space="preserve">Parso Model Town site pe kaam nahi hua, barish thi</t>
  </si>
  <si>
    <t xml:space="preserve">परसों मॉडल टाउन साइट पे काम नहीं हुआ, बारिश थी</t>
  </si>
  <si>
    <t xml:space="preserve">No work happened at the Model Town site day before yesterday, it rained</t>
  </si>
  <si>
    <t xml:space="preserve">Work did not happen</t>
  </si>
  <si>
    <t xml:space="preserve">STK-D-01</t>
  </si>
  <si>
    <t xml:space="preserve">Sharma ji ki site pe gudam wali 200 eent gayi, 1600 tay hue</t>
  </si>
  <si>
    <t xml:space="preserve">शर्मा जी की साइट पे गोदाम वाली 200 ईंट गईं, 1600 तय हुए</t>
  </si>
  <si>
    <t xml:space="preserve">200 bricks from the warehouse went to Sharma ji's site, settled at 1600</t>
  </si>
  <si>
    <t xml:space="preserve">customer_name=Sharma ji; item_name=eent; quantity=200; amount=1600; date=T</t>
  </si>
  <si>
    <t xml:space="preserve">Goods to a customer with price = sale, not just movement</t>
  </si>
  <si>
    <t xml:space="preserve">sale_transaction(customer_name=Sharma ji, item_name=eent, quantity=200, unit=piece, rate=8, amount=1600, source=Gudam, date=2026-10-08)</t>
  </si>
  <si>
    <t xml:space="preserve">STK-D-02</t>
  </si>
  <si>
    <t xml:space="preserve">SBI ki gaadi aayi, 3000 eent seedha gudam mein khali, bill 18000 ka</t>
  </si>
  <si>
    <t xml:space="preserve">एसबीआई की गाड़ी आई, 3000 ईंट सीधा गोदाम में खाली, बिल 18000 का</t>
  </si>
  <si>
    <t xml:space="preserve">SBI's vehicle came, 3000 bricks unloaded straight in the warehouse, bill of 18000</t>
  </si>
  <si>
    <t xml:space="preserve">supplier_name=SBI Bhatta; item_name=eent; quantity=3000; amount=18000; date=T</t>
  </si>
  <si>
    <t xml:space="preserve">Supplier purchase into gudam</t>
  </si>
  <si>
    <t xml:space="preserve">supplier_transaction(supplier_name=SBI Bhatta, item_name=eent, quantity=3000, amount=18000, note=seedha khali, date=2026-10-08)</t>
  </si>
  <si>
    <t xml:space="preserve">STK-D-03</t>
  </si>
  <si>
    <t xml:space="preserve">Gudam ke maalik ko is mahine ka 5000 kiraya pakda diya</t>
  </si>
  <si>
    <t xml:space="preserve">गोदाम के मालिक को इस महीने का 5000 किराया पकड़ा दिया</t>
  </si>
  <si>
    <t xml:space="preserve">Handed the warehouse owner 5000 rent for this month</t>
  </si>
  <si>
    <t xml:space="preserve">category=rent; amount=5000; description=gudam kiraya; date=T</t>
  </si>
  <si>
    <t xml:space="preserve">Rent expense — 'maalik' is not a party</t>
  </si>
  <si>
    <t xml:space="preserve">expense(amount=5000, category=rent, date=2026-10-08)</t>
  </si>
  <si>
    <t xml:space="preserve">amount=5000; date=T</t>
  </si>
  <si>
    <t xml:space="preserve">expense_payment(amount=5000, date=2026-10-08)</t>
  </si>
  <si>
    <t xml:space="preserve">STK-D-04</t>
  </si>
  <si>
    <t xml:space="preserve">Sohan subah se gudam pe hai, present likh lo</t>
  </si>
  <si>
    <t xml:space="preserve">सोहन सुबह से गोदाम पे है, प्रेज़ेंट लिख लो</t>
  </si>
  <si>
    <t xml:space="preserve">Sohan has been at the warehouse since morning, mark him present</t>
  </si>
  <si>
    <t xml:space="preserve">Attendance, not work log</t>
  </si>
  <si>
    <t xml:space="preserve">attendance(employee_name=Sohan, attendance=P, driving=absent, note=subah se gudam pe hai, date=2026-10-08)</t>
  </si>
  <si>
    <t xml:space="preserve">STK-D-05</t>
  </si>
  <si>
    <t xml:space="preserve">Shop ka 1500 ka bijli bill bhara</t>
  </si>
  <si>
    <t xml:space="preserve">दुकान का 1500 का बिजली बिल भरा</t>
  </si>
  <si>
    <t xml:space="preserve">Paid the shop's electricity bill of 1500</t>
  </si>
  <si>
    <t xml:space="preserve">category=misc; amount=1500; description=shop bijli bill; date=T</t>
  </si>
  <si>
    <t xml:space="preserve">Shop expense</t>
  </si>
  <si>
    <t xml:space="preserve">expense(amount=1500, category=misc, date=2026-10-08)</t>
  </si>
  <si>
    <t xml:space="preserve">expense_payment(amount=1500, date=2026-10-08)</t>
  </si>
  <si>
    <t xml:space="preserve">STK-D-06</t>
  </si>
  <si>
    <t xml:space="preserve">Suresh Traders shop se 30 fatte le gaye 4500 mein, paise baad mein</t>
  </si>
  <si>
    <t xml:space="preserve">सुरेश ट्रेडर्स दुकान से 30 फट्टे ले गए 4500 में, पैसे बाद में</t>
  </si>
  <si>
    <t xml:space="preserve">Suresh Traders took 30 planks from the shop for 4500, payment later</t>
  </si>
  <si>
    <t xml:space="preserve">Credit sale from shop</t>
  </si>
  <si>
    <t xml:space="preserve">sale_transaction(customer_name=Suresh Traders, supplier_name=Suresh Traders shop, item_name=fatte, quantity=30, unit=piece, amount=4500, source=Suresh Traders shop, note=paise baad mein, date=2026-10-08)</t>
  </si>
  <si>
    <t xml:space="preserve">STK-D-07</t>
  </si>
  <si>
    <t xml:space="preserve">Papa gudam ke galle se 2000 le gaye ghar ke liye</t>
  </si>
  <si>
    <t xml:space="preserve">पापा गोदाम के गल्ले से 2000 ले गए घर के लिए</t>
  </si>
  <si>
    <t xml:space="preserve">Papa took 2000 from the warehouse till for home</t>
  </si>
  <si>
    <t xml:space="preserve">Family kharcha — gudam is only the till's place</t>
  </si>
  <si>
    <t xml:space="preserve">asked location (ghar) → stopped</t>
  </si>
  <si>
    <t xml:space="preserve">family_transaction(member_name=Papa, transaction_type=kharcha, amount=2000, note=gudam ke galle se, date=2026-10-08)</t>
  </si>
  <si>
    <t xml:space="preserve">STK-D-08</t>
  </si>
  <si>
    <t xml:space="preserve">Gupta ji ka purana makaan 2 lakh mein liya, maal baad mein gudam aayega</t>
  </si>
  <si>
    <t xml:space="preserve">गुप्ता जी का पुराना मकान 2 लाख में लिया, माल बाद में गोदाम आएगा</t>
  </si>
  <si>
    <t xml:space="preserve">Bought Gupta ji's old house for 2 lakh, the material will come to the warehouse later</t>
  </si>
  <si>
    <t xml:space="preserve">seller_name=Gupta ji; total_amount=200000; date=T</t>
  </si>
  <si>
    <t xml:space="preserve">Purchase; future material must not become a movement</t>
  </si>
  <si>
    <t xml:space="preserve">STK-D-09</t>
  </si>
  <si>
    <t xml:space="preserve">Kitanu ne gudam saaf kiya, 400 usko de diye</t>
  </si>
  <si>
    <t xml:space="preserve">कितनू ने गोदाम साफ किया, 400 उसको दे दिए</t>
  </si>
  <si>
    <t xml:space="preserve">Kitanu cleaned the warehouse, gave him 400</t>
  </si>
  <si>
    <t xml:space="preserve">employee_name=Kitanu; transaction_type=payment; amount=400; date=T</t>
  </si>
  <si>
    <t xml:space="preserve">Employee payment</t>
  </si>
  <si>
    <t xml:space="preserve">employee_transaction(employee_name=Kitanu, transaction_type=payment, amount=400, note=Kitanu ne gudam saaf kiya, date=2026-10-08)</t>
  </si>
  <si>
    <t xml:space="preserve">STK-D-10</t>
  </si>
  <si>
    <t xml:space="preserve">Shop ka shutter theek karwaya 900 mein</t>
  </si>
  <si>
    <t xml:space="preserve">दुकान का शटर ठीक करवाया 900 में</t>
  </si>
  <si>
    <t xml:space="preserve">Got the shop shutter repaired for 900</t>
  </si>
  <si>
    <t xml:space="preserve">category=repair; amount=900; description=shop shutter; date=T</t>
  </si>
  <si>
    <t xml:space="preserve">Repair expense, not work log</t>
  </si>
  <si>
    <t xml:space="preserve">expense(amount=900, category=repair, note=Shop ka, date=2026-10-08)</t>
  </si>
  <si>
    <t xml:space="preserve">expense(amount=900, category=repair, note=Shop, date=2026-10-08)</t>
  </si>
  <si>
    <t xml:space="preserve">expense_payment(amount=900, date=2026-10-08)</t>
  </si>
  <si>
    <t xml:space="preserve">STK-E-01</t>
  </si>
  <si>
    <t xml:space="preserve">500 eent gudam se dukaan bheji, 20 dukaan pahunch ke tooti nikli</t>
  </si>
  <si>
    <t xml:space="preserve">500 ईंट गोदाम से दुकान भेजीं, 20 दुकान पहुंच के टूटी निकलीं</t>
  </si>
  <si>
    <t xml:space="preserve">Sent 500 bricks from the warehouse to the shop, 20 turned out broken on reaching the shop</t>
  </si>
  <si>
    <t xml:space="preserve">Movement + damage at destination</t>
  </si>
  <si>
    <t xml:space="preserve">material_movement(item_name=eent, quantity=500, date=2026-10-08)</t>
  </si>
  <si>
    <t xml:space="preserve">location=shop; item_name=eent; quantity_change=-20; date=T</t>
  </si>
  <si>
    <t xml:space="preserve">STK-E-02</t>
  </si>
  <si>
    <t xml:space="preserve">Shop se 10 kadiyan gudam bheji, Kitanu ko 300 bhaada diya</t>
  </si>
  <si>
    <t xml:space="preserve">दुकान से 10 कड़ियां गोदाम भेजीं, कितनू को 300 भाड़ा दिया</t>
  </si>
  <si>
    <t xml:space="preserve">Sent 10 beams from the shop to the warehouse, paid Kitanu 300 freight</t>
  </si>
  <si>
    <t xml:space="preserve">Movement + employee payment</t>
  </si>
  <si>
    <t xml:space="preserve">material_movement(item_name=kadiyan, quantity=10, date=2026-10-08)</t>
  </si>
  <si>
    <t xml:space="preserve">employee_transaction(employee_name=Kitanu, transaction_type=payment, amount=300, note=bhaada diya, date=2026-10-08)</t>
  </si>
  <si>
    <t xml:space="preserve">STK-E-03</t>
  </si>
  <si>
    <t xml:space="preserve">Gudam mein 4 labour ne maal sambhala, aur 6 darwaze kam nikle</t>
  </si>
  <si>
    <t xml:space="preserve">गोदाम में 4 लेबर ने माल संभाला, और 6 दरवाज़े कम निकले</t>
  </si>
  <si>
    <t xml:space="preserve">4 labourers handled the goods in the warehouse, and 6 doors were short</t>
  </si>
  <si>
    <t xml:space="preserve">location_type=gudam; description=maal sambhala; date=T; labour_count=4</t>
  </si>
  <si>
    <t xml:space="preserve">Work log + adjustment</t>
  </si>
  <si>
    <t xml:space="preserve">location=gudam; item_name=darwaza; quantity_change=-6; date=T</t>
  </si>
  <si>
    <t xml:space="preserve">STK-E-04</t>
  </si>
  <si>
    <t xml:space="preserve">Model Town site pe kaam chala, wahan se 1500 eent gudam aayi</t>
  </si>
  <si>
    <t xml:space="preserve">मॉडल टाउन साइट पे काम चला, वहां से 1500 ईंट गोदाम आईं</t>
  </si>
  <si>
    <t xml:space="preserve">Work went on at the Model Town site, 1500 bricks came from there to the warehouse</t>
  </si>
  <si>
    <t xml:space="preserve">location_type=site; description=kaam chala; date=T; location_name=Model Town</t>
  </si>
  <si>
    <t xml:space="preserve">Work log + site → gudam</t>
  </si>
  <si>
    <t xml:space="preserve">item_name=eent; quantity=1500; source_name=Model Town; destination_name=gudam; date=T</t>
  </si>
  <si>
    <t xml:space="preserve">material_movement(item_name=eent, quantity=1500, date=2026-10-08)</t>
  </si>
  <si>
    <t xml:space="preserve">STK-E-05</t>
  </si>
  <si>
    <t xml:space="preserve">Gudam se 100 eent Sharma ji ko 900 mein gayi aur 200 shop pe</t>
  </si>
  <si>
    <t xml:space="preserve">गोदाम से 100 ईंट शर्मा जी को 900 में गईं और 200 दुकान पे</t>
  </si>
  <si>
    <t xml:space="preserve">100 bricks went from the warehouse to Sharma ji for 900 and 200 to the shop</t>
  </si>
  <si>
    <t xml:space="preserve">customer_name=Sharma ji; item_name=eent; quantity=100; amount=900; date=T</t>
  </si>
  <si>
    <t xml:space="preserve">Sale + movement from the same source</t>
  </si>
  <si>
    <t xml:space="preserve">sale_transaction(customer_name=Sharma ji, supplier_name=Gudam, item_name=eent, quantity=100, amount=900, source=Gudam, date=2026-10-08)</t>
  </si>
  <si>
    <t xml:space="preserve">ERROR InvalidUpdateError: At key 'original_user_statemen</t>
  </si>
  <si>
    <t xml:space="preserve">item_name=eent; quantity=200; source_name=gudam; destination_name=shop; date=T</t>
  </si>
  <si>
    <t xml:space="preserve">material_movement(item_name=eent, quantity=200, date=2026-10-08)</t>
  </si>
  <si>
    <t xml:space="preserve">record_sale_transaction: no entry, no question (route=None)</t>
  </si>
  <si>
    <t xml:space="preserve">STK-E-06</t>
  </si>
  <si>
    <t xml:space="preserve">Shop pe 8 khidkiyan tooti mili, aur gudam ka kiraya 5000 diya</t>
  </si>
  <si>
    <t xml:space="preserve">दुकान पे 8 खिड़कियां टूटी मिलीं, और गोदाम का किराया 5000 दिया</t>
  </si>
  <si>
    <t xml:space="preserve">Found 8 windows broken at the shop, and paid the warehouse rent of 5000</t>
  </si>
  <si>
    <t xml:space="preserve">location=shop; item_name=khidki; quantity_change=-8; date=T</t>
  </si>
  <si>
    <t xml:space="preserve">Adjustment + expense</t>
  </si>
  <si>
    <t xml:space="preserve">adjustment(item_name=khidkiyan, unit=piece)</t>
  </si>
  <si>
    <t xml:space="preserve">expense_payment(amount=5000, note=Gudam ka, date=2026-10-08)</t>
  </si>
  <si>
    <t xml:space="preserve">STK-E-07</t>
  </si>
  <si>
    <t xml:space="preserve">Kal gudam se 50 fatte shop gaye, aaj shop pe 5 kam nikle</t>
  </si>
  <si>
    <t xml:space="preserve">कल गोदाम से 50 फट्टे दुकान गए, आज दुकान पे 5 कम निकले</t>
  </si>
  <si>
    <t xml:space="preserve">Yesterday 50 planks went from the warehouse to the shop, today 5 were short at the shop</t>
  </si>
  <si>
    <t xml:space="preserve">item_name=fatta; quantity=50; source_name=gudam; destination_name=shop; date=T-1</t>
  </si>
  <si>
    <t xml:space="preserve">Two dates, movement + adjustment at destination</t>
  </si>
  <si>
    <t xml:space="preserve">material_movement(item_name=fatte, quantity=50, date=2026-10-07)</t>
  </si>
  <si>
    <t xml:space="preserve">location=shop; item_name=fatta; quantity_change=-5; date=T</t>
  </si>
  <si>
    <t xml:space="preserve">adjustment(item_name=fatte, unit=piece)</t>
  </si>
  <si>
    <t xml:space="preserve">STK-E-08</t>
  </si>
  <si>
    <t xml:space="preserve">SBI wali 2000 eent aaj gudam aayi, unme 100 tooti nikli</t>
  </si>
  <si>
    <t xml:space="preserve">एसबीआई वाली 2000 ईंट आज गोदाम आईं, उनमें 100 टूटी निकलीं</t>
  </si>
  <si>
    <t xml:space="preserve">The 2000 bricks from SBI came to the warehouse today, 100 of them were broken</t>
  </si>
  <si>
    <t xml:space="preserve">Supplier purchase + damage</t>
  </si>
  <si>
    <t xml:space="preserve">supplier_transaction(supplier_name=SBI, item_name=eent, quantity=2000, date=2026-10-08)</t>
  </si>
  <si>
    <t xml:space="preserve">location=gudam; item_name=eent; quantity_change=-100; date=T</t>
  </si>
  <si>
    <t xml:space="preserve">asked location (SBI wali) → supplier</t>
  </si>
  <si>
    <t xml:space="preserve">EXTRA entry: record_supplier_transaction SBI </t>
  </si>
  <si>
    <t xml:space="preserve">STK-E-09</t>
  </si>
  <si>
    <t xml:space="preserve">Sohan aaj gudam pe tha, 30 bori cement dukaan pahunchayi</t>
  </si>
  <si>
    <t xml:space="preserve">सोहन आज गोदाम पे था, 30 बोरी सीमेंट दुकान पहुंचाई</t>
  </si>
  <si>
    <t xml:space="preserve">Sohan was at the warehouse today, delivered 30 bags of cement to the shop</t>
  </si>
  <si>
    <t xml:space="preserve">Attendance + movement</t>
  </si>
  <si>
    <t xml:space="preserve">attendance(employee_name=Sohan, attendance=P, driving=absent, note=gudam pe tha, date=2026-10-08)</t>
  </si>
  <si>
    <t xml:space="preserve">item_name=cement; quantity=30; source_name=gudam; destination_name=shop; date=T</t>
  </si>
  <si>
    <t xml:space="preserve">material_movement(item_name=cement, quantity=30, unit=bag, date=2026-10-08)</t>
  </si>
  <si>
    <t xml:space="preserve">STK-E-10</t>
  </si>
  <si>
    <t xml:space="preserve">Gudam mein 15 bori cement zyada mili aur 10 chaukhat shop bhej di</t>
  </si>
  <si>
    <t xml:space="preserve">गोदाम में 15 बोरी सीमेंट ज़्यादा मिली और 10 चौखट दुकान भेज दीं</t>
  </si>
  <si>
    <t xml:space="preserve">Found 15 extra bags of cement in the warehouse and sent 10 door frames to the shop</t>
  </si>
  <si>
    <t xml:space="preserve">location=gudam; item_name=cement; quantity_change=15; date=T</t>
  </si>
  <si>
    <t xml:space="preserve">Adjustment + movement</t>
  </si>
  <si>
    <t xml:space="preserve">adjustment(item_name=cement, unit=bag, note=zyaada mili)</t>
  </si>
  <si>
    <t xml:space="preserve">item_name=chaukhat; quantity=10; source_name=gudam; destination_name=shop; date=T</t>
  </si>
  <si>
    <t xml:space="preserve">material_movement(item_name=chaukhat, quantity=10, date=2026-10-08)</t>
  </si>
  <si>
    <t xml:space="preserve">Purchase bundle — test cases and results (before vs after fixes)</t>
  </si>
  <si>
    <t xml:space="preserve">Yellow = written and locked before the first run · Green = from the runs. Before = v1 code (baseline 2026-10-08 08:00, Hinglish) · After = the last FULL run of the bundle after the fixes (Hinglish; every test in one run; run id in the After - Run column).</t>
  </si>
  <si>
    <t xml:space="preserve">After = full 50-test run 2026-10-08 13:17, Hinglish. B-08, C-07, E-03, E-06 failed here (see Known issues).</t>
  </si>
  <si>
    <t xml:space="preserve">PUR-A-01</t>
  </si>
  <si>
    <t xml:space="preserve">Rohtak road wali haveli 4 lakh mein khareedi Yadav ji se</t>
  </si>
  <si>
    <t xml:space="preserve">रोहतक रोड वाली हवेली 4 लाख में खरीदी यादव जी से</t>
  </si>
  <si>
    <t xml:space="preserve">Bought the haveli on Rohtak road from Yadav ji for 4 lakh</t>
  </si>
  <si>
    <t xml:space="preserve">seller_name=Yadav ji; total_amount=400000; date=T</t>
  </si>
  <si>
    <t xml:space="preserve">Simple purchase, seller at the end</t>
  </si>
  <si>
    <t xml:space="preserve">1317</t>
  </si>
  <si>
    <t xml:space="preserve">PUR-A-02</t>
  </si>
  <si>
    <t xml:space="preserve">Yadav ji ko haveli ke 50000 diye</t>
  </si>
  <si>
    <t xml:space="preserve">यादव जी को हवेली के 50000 दिए</t>
  </si>
  <si>
    <t xml:space="preserve">Paid Yadav ji 50000 for the haveli</t>
  </si>
  <si>
    <t xml:space="preserve">record_purchase_payment</t>
  </si>
  <si>
    <t xml:space="preserve">seller_name=Yadav ji; amount=50000; date=T</t>
  </si>
  <si>
    <t xml:space="preserve">Payment to seller (no old deal in DB — entry still made)</t>
  </si>
  <si>
    <t xml:space="preserve">purchase_payment(amount=50000, note=haveli ke, date=2026-10-08)</t>
  </si>
  <si>
    <t xml:space="preserve">PUR-A-03</t>
  </si>
  <si>
    <t xml:space="preserve">Malik sahab ki purani dukaan 1.5 lakh mein tay hui todne ko</t>
  </si>
  <si>
    <t xml:space="preserve">मलिक साहब की पुरानी दुकान 1.5 लाख में तय हुई तोड़ने को</t>
  </si>
  <si>
    <t xml:space="preserve">Malik sahab's old shop was settled at 1.5 lakh for demolition</t>
  </si>
  <si>
    <t xml:space="preserve">seller_name=Malik sahab; total_amount=150000; date=T</t>
  </si>
  <si>
    <t xml:space="preserve">'tay hui' = deal done</t>
  </si>
  <si>
    <t xml:space="preserve">PUR-A-04</t>
  </si>
  <si>
    <t xml:space="preserve">Malik sahab ko 1 lakh pakda diye dukaan ke</t>
  </si>
  <si>
    <t xml:space="preserve">मलिक साहब को 1 लाख पकड़ा दिए दुकान के</t>
  </si>
  <si>
    <t xml:space="preserve">Handed Malik sahab 1 lakh for the shop</t>
  </si>
  <si>
    <t xml:space="preserve">seller_name=Malik sahab; amount=100000; date=T</t>
  </si>
  <si>
    <t xml:space="preserve">Payment</t>
  </si>
  <si>
    <t xml:space="preserve">purchase_payment(amount=100000, note=dukaan ke on, date=2026-10-08)</t>
  </si>
  <si>
    <t xml:space="preserve">purchase_payment(amount=100000, note=dukaan ke, date=2026-10-08)</t>
  </si>
  <si>
    <t xml:space="preserve">PUR-A-05</t>
  </si>
  <si>
    <t xml:space="preserve">Choudhary ji se school ki purani building 8 lakh mein li</t>
  </si>
  <si>
    <t xml:space="preserve">चौधरी जी से स्कूल की पुरानी बिल्डिंग 8 लाख में ली</t>
  </si>
  <si>
    <t xml:space="preserve">Bought the old school building from Choudhary ji for 8 lakh</t>
  </si>
  <si>
    <t xml:space="preserve">seller_name=Choudhary ji; total_amount=800000; date=T</t>
  </si>
  <si>
    <t xml:space="preserve">PUR-A-06</t>
  </si>
  <si>
    <t xml:space="preserve">Choudhary ji ko 2 lakh advance diye building ka</t>
  </si>
  <si>
    <t xml:space="preserve">चौधरी जी को 2 लाख एडवांस दिए बिल्डिंग का</t>
  </si>
  <si>
    <t xml:space="preserve">Gave Choudhary ji 2 lakh advance for the building</t>
  </si>
  <si>
    <t xml:space="preserve">seller_name=Choudhary ji; amount=200000; date=T</t>
  </si>
  <si>
    <t xml:space="preserve">'advance' must not become employee advance</t>
  </si>
  <si>
    <t xml:space="preserve">purchase_payment(amount=200000, note=building ka, date=2026-10-08)</t>
  </si>
  <si>
    <t xml:space="preserve">PUR-A-07</t>
  </si>
  <si>
    <t xml:space="preserve">Kal Saini ji ka godown 2.5 lakh mein liya, tod ke maal nikalna hai</t>
  </si>
  <si>
    <t xml:space="preserve">कल सैनी जी का गोदाम 2.5 लाख में लिया, तोड़ के माल निकालना है</t>
  </si>
  <si>
    <t xml:space="preserve">Yesterday bought Saini ji's godown for 2.5 lakh, have to break it and take out the material</t>
  </si>
  <si>
    <t xml:space="preserve">seller_name=Saini ji; total_amount=250000; date=T-1</t>
  </si>
  <si>
    <t xml:space="preserve">Purchase yesterday; future salvage = no movement</t>
  </si>
  <si>
    <t xml:space="preserve">purchase(note=tod ke maal nikalna hai)</t>
  </si>
  <si>
    <t xml:space="preserve">PUR-A-08</t>
  </si>
  <si>
    <t xml:space="preserve">Saini ji ko aaj 50 hazaar aur bheje</t>
  </si>
  <si>
    <t xml:space="preserve">सैनी जी को आज 50 हज़ार और भेजे</t>
  </si>
  <si>
    <t xml:space="preserve">Sent Saini ji 50 thousand more today</t>
  </si>
  <si>
    <t xml:space="preserve">seller_name=Saini ji; amount=50000; date=T</t>
  </si>
  <si>
    <t xml:space="preserve">'50 hazaar'</t>
  </si>
  <si>
    <t xml:space="preserve">purchase_payment(amount=50000, date=2026-10-08)</t>
  </si>
  <si>
    <t xml:space="preserve">PUR-A-09</t>
  </si>
  <si>
    <t xml:space="preserve">Rana ji ki kothi ka sauda 6 lakh mein pakka hua</t>
  </si>
  <si>
    <t xml:space="preserve">राणा जी की कोठी का सौदा 6 लाख में पक्का हुआ</t>
  </si>
  <si>
    <t xml:space="preserve">The deal for Rana ji's bungalow was fixed at 6 lakh</t>
  </si>
  <si>
    <t xml:space="preserve">seller_name=Rana ji; total_amount=600000; date=T</t>
  </si>
  <si>
    <t xml:space="preserve">'sauda pakka'</t>
  </si>
  <si>
    <t xml:space="preserve">PUR-A-10</t>
  </si>
  <si>
    <t xml:space="preserve">Rana ji ka baaki 4 lakh chuka diya</t>
  </si>
  <si>
    <t xml:space="preserve">राणा जी का बाकी 4 लाख चुका दिया</t>
  </si>
  <si>
    <t xml:space="preserve">Cleared Rana ji's remaining 4 lakh</t>
  </si>
  <si>
    <t xml:space="preserve">seller_name=Rana ji; amount=400000; date=T</t>
  </si>
  <si>
    <t xml:space="preserve">Remaining payment</t>
  </si>
  <si>
    <t xml:space="preserve">purchase_payment(amount=400000, date=2026-10-08)</t>
  </si>
  <si>
    <t xml:space="preserve">PUR-B-01</t>
  </si>
  <si>
    <t xml:space="preserve">Haveli todne ka sauda Yadav ji se 4 lakh mein, 1 lakh abhi de diya</t>
  </si>
  <si>
    <t xml:space="preserve">हवेली तोड़ने का सौदा यादव जी से 4 लाख में, 1 लाख अभी दे दिया</t>
  </si>
  <si>
    <t xml:space="preserve">Deal with Yadav ji to break the haveli for 4 lakh, paid 1 lakh now</t>
  </si>
  <si>
    <t xml:space="preserve">Deal + payment in one line</t>
  </si>
  <si>
    <t xml:space="preserve">purchase(note=100000 abhi de diya)</t>
  </si>
  <si>
    <t xml:space="preserve">seller_name=Yadav ji; amount=100000; date=T</t>
  </si>
  <si>
    <t xml:space="preserve">purchase_payment(amount=100000, date=2026-10-08)</t>
  </si>
  <si>
    <t xml:space="preserve">PUR-B-02</t>
  </si>
  <si>
    <t xml:space="preserve">Malik sahab ki dukaan ka pura malba 1.5 lakh mein utha liya</t>
  </si>
  <si>
    <t xml:space="preserve">मलिक साहब की दुकान का पूरा मलबा 1.5 लाख में उठा लिया</t>
  </si>
  <si>
    <t xml:space="preserve">Took all the debris of Malik sahab's shop for 1.5 lakh</t>
  </si>
  <si>
    <t xml:space="preserve">'malba' looks like goods — it is a property purchase</t>
  </si>
  <si>
    <t xml:space="preserve">record_purchase: no entry, no question (route=accounting)</t>
  </si>
  <si>
    <t xml:space="preserve">EXTRA entry: record_expense  150000.0</t>
  </si>
  <si>
    <t xml:space="preserve">PUR-B-03</t>
  </si>
  <si>
    <t xml:space="preserve">Choudhary ji wali building ke 2 lakh aur de aaye</t>
  </si>
  <si>
    <t xml:space="preserve">चौधरी जी वाली बिल्डिंग के 2 लाख और दे आए</t>
  </si>
  <si>
    <t xml:space="preserve">Gave 2 lakh more for Choudhary ji's building</t>
  </si>
  <si>
    <t xml:space="preserve">'wali building' is a descriptor</t>
  </si>
  <si>
    <t xml:space="preserve">purchase_payment(amount=200000, date=2026-10-08)</t>
  </si>
  <si>
    <t xml:space="preserve">PUR-B-04</t>
  </si>
  <si>
    <t xml:space="preserve">Saini ji ka godown liya tha 2.5 lakh ka, aaj aadha de diya</t>
  </si>
  <si>
    <t xml:space="preserve">सैनी जी का गोदाम लिया था 2.5 लाख का, आज आधा दे दिया</t>
  </si>
  <si>
    <t xml:space="preserve">Had bought Saini ji's godown for 2.5 lakh, paid half today</t>
  </si>
  <si>
    <t xml:space="preserve">seller_name=Saini ji; amount=125000; date=T</t>
  </si>
  <si>
    <t xml:space="preserve">Old deal is background — only today's half payment</t>
  </si>
  <si>
    <t xml:space="preserve">purchase_payment(amount=0.5, date=2026-10-08)</t>
  </si>
  <si>
    <t xml:space="preserve">record_purchase_payment: amount 0.5≠125000</t>
  </si>
  <si>
    <t xml:space="preserve">purchase_payment(amount=125000, date=2026-10-08)</t>
  </si>
  <si>
    <t xml:space="preserve">EXTRA entry: record_purchase  </t>
  </si>
  <si>
    <t xml:space="preserve">PUR-B-05</t>
  </si>
  <si>
    <t xml:space="preserve">Rana ji ne apni kothi 6 lakh mein de di, paise agle hafte denge</t>
  </si>
  <si>
    <t xml:space="preserve">राणा जी ने अपनी कोठी 6 लाख में दे दी, पैसे अगले हफ्ते देंगे</t>
  </si>
  <si>
    <t xml:space="preserve">Rana ji gave us his bungalow for 6 lakh, will pay next week</t>
  </si>
  <si>
    <t xml:space="preserve">'Rana ji ne … de di' = we bought; no payment yet</t>
  </si>
  <si>
    <t xml:space="preserve">purchase(note=paise agle hafte denge)</t>
  </si>
  <si>
    <t xml:space="preserve">record_purchase: date 2026-10-15≠2026-10-08</t>
  </si>
  <si>
    <t xml:space="preserve">PUR-B-06</t>
  </si>
  <si>
    <t xml:space="preserve">Purani dharamshala ka thekedar Pawan hai, usse 3 lakh mein deal hui</t>
  </si>
  <si>
    <t xml:space="preserve">पुरानी धर्मशाला का ठेकेदार पवन है, उससे 3 लाख में डील हुई</t>
  </si>
  <si>
    <t xml:space="preserve">Pawan is the contractor of the old dharamshala, the deal with him is 3 lakh</t>
  </si>
  <si>
    <t xml:space="preserve">seller_name=Pawan; total_amount=300000; date=T</t>
  </si>
  <si>
    <t xml:space="preserve">Seller named in the middle</t>
  </si>
  <si>
    <t xml:space="preserve">PUR-B-07</t>
  </si>
  <si>
    <t xml:space="preserve">Haveli pakki karne ko Yadav ji ke haath 21000 bayana rakh aaye</t>
  </si>
  <si>
    <t xml:space="preserve">हवेली पक्की करने को यादव जी के हाथ 21000 बयाना रख आए</t>
  </si>
  <si>
    <t xml:space="preserve">Left 21000 token money with Yadav ji to confirm the haveli</t>
  </si>
  <si>
    <t xml:space="preserve">seller_name=Yadav ji; amount=21000; date=T</t>
  </si>
  <si>
    <t xml:space="preserve">'bayana' = token payment</t>
  </si>
  <si>
    <t xml:space="preserve">purchase_payment(amount=21000, note=Haveli pakki karne ko bayana rakh aaye, date=2026-10-08)</t>
  </si>
  <si>
    <t xml:space="preserve">PUR-B-08</t>
  </si>
  <si>
    <t xml:space="preserve">Malik sahab se dukaan 1.5 lakh mein li, 50000 cash diye aur 1 lakh PhonePe kiye</t>
  </si>
  <si>
    <t xml:space="preserve">मलिक साहब से दुकान 1.5 लाख में ली, 50000 कैश दिए और 1 लाख फोनपे किए</t>
  </si>
  <si>
    <t xml:space="preserve">Bought the shop from Malik sahab for 1.5 lakh, paid 50000 cash and 1 lakh by PhonePe</t>
  </si>
  <si>
    <t xml:space="preserve">Two payment methods</t>
  </si>
  <si>
    <t xml:space="preserve">asked location (Malik sahab) → site</t>
  </si>
  <si>
    <t xml:space="preserve">seller_name=Malik sahab; amount=50000; date=T</t>
  </si>
  <si>
    <t xml:space="preserve">record_purchase_payment: no entry, no question (route=accounting)</t>
  </si>
  <si>
    <t xml:space="preserve">PUR-B-09</t>
  </si>
  <si>
    <t xml:space="preserve">Choudhary ji ki building ka sauda 8 se ghat ke 7.5 lakh pe hua</t>
  </si>
  <si>
    <t xml:space="preserve">चौधरी जी की बिल्डिंग का सौदा 8 से घट के 7.5 लाख पे हुआ</t>
  </si>
  <si>
    <t xml:space="preserve">The deal for Choudhary ji's building came down from 8 to 7.5 lakh</t>
  </si>
  <si>
    <t xml:space="preserve">seller_name=Choudhary ji; total_amount=750000; date=T</t>
  </si>
  <si>
    <t xml:space="preserve">Two numbers — final is 7.5 lakh</t>
  </si>
  <si>
    <t xml:space="preserve">PUR-B-10</t>
  </si>
  <si>
    <t xml:space="preserve">Kal Rana ji ko kothi ke 2 lakh diye the, aaj 1 lakh aur</t>
  </si>
  <si>
    <t xml:space="preserve">कल राणा जी को कोठी के 2 लाख दिए थे, आज 1 लाख और</t>
  </si>
  <si>
    <t xml:space="preserve">Gave Rana ji 2 lakh for the bungalow yesterday, 1 lakh more today</t>
  </si>
  <si>
    <t xml:space="preserve">seller_name=Rana ji; amount=200000; date=T-1</t>
  </si>
  <si>
    <t xml:space="preserve">Two payments, two dates</t>
  </si>
  <si>
    <t xml:space="preserve">purchase_payment(amount=200000, note=kothi ke, date=2026-10-07)</t>
  </si>
  <si>
    <t xml:space="preserve">seller_name=Rana ji; amount=100000; date=T</t>
  </si>
  <si>
    <t xml:space="preserve">PUR-C-01</t>
  </si>
  <si>
    <t xml:space="preserve">Haveli todne ko le li Yadav ji wali, rakam abhi likhi nahi</t>
  </si>
  <si>
    <t xml:space="preserve">हवेली तोड़ने को ले ली यादव जी वाली, रकम अभी लिखी नहीं</t>
  </si>
  <si>
    <t xml:space="preserve">Took Yadav ji's haveli for demolition, amount not written yet</t>
  </si>
  <si>
    <t xml:space="preserve">For how much?</t>
  </si>
  <si>
    <t xml:space="preserve">No amount</t>
  </si>
  <si>
    <t xml:space="preserve">asked total_amount (purchase)</t>
  </si>
  <si>
    <t xml:space="preserve">PUR-C-02</t>
  </si>
  <si>
    <t xml:space="preserve">Ek purana makaan 2 lakh mein le liya aaj</t>
  </si>
  <si>
    <t xml:space="preserve">एक पुराना मकान 2 लाख में ले लिया आज</t>
  </si>
  <si>
    <t xml:space="preserve">Bought an old house for 2 lakh today</t>
  </si>
  <si>
    <t xml:space="preserve">From whom?</t>
  </si>
  <si>
    <t xml:space="preserve">No seller</t>
  </si>
  <si>
    <t xml:space="preserve">asked seller_name (purchase)</t>
  </si>
  <si>
    <t xml:space="preserve">PUR-C-03</t>
  </si>
  <si>
    <t xml:space="preserve">Agle mahine Malik sahab ki dukaan lene ki soch rahe hain</t>
  </si>
  <si>
    <t xml:space="preserve">अगले महीने मलिक साहब की दुकान लेने की सोच रहे हैं</t>
  </si>
  <si>
    <t xml:space="preserve">Thinking of buying Malik sahab's shop next month</t>
  </si>
  <si>
    <t xml:space="preserve">Plan only</t>
  </si>
  <si>
    <t xml:space="preserve">PUR-C-04</t>
  </si>
  <si>
    <t xml:space="preserve">Rana ji se kothi 5 lakh, nahi nahi 5.5 lakh mein li</t>
  </si>
  <si>
    <t xml:space="preserve">राणा जी से कोठी 5 लाख, नहीं नहीं 5.5 लाख में ली</t>
  </si>
  <si>
    <t xml:space="preserve">Bought the bungalow from Rana ji for 5 lakh, no no, 5.5 lakh</t>
  </si>
  <si>
    <t xml:space="preserve">seller_name=Rana ji; total_amount=550000; date=T</t>
  </si>
  <si>
    <t xml:space="preserve">Self-correction</t>
  </si>
  <si>
    <t xml:space="preserve">PUR-C-05</t>
  </si>
  <si>
    <t xml:space="preserve">Saini ji ka godown dhai lakh mein le liya</t>
  </si>
  <si>
    <t xml:space="preserve">सैनी जी का गोदाम ढाई लाख में ले लिया</t>
  </si>
  <si>
    <t xml:space="preserve">Bought Saini ji's godown for two and a half lakh</t>
  </si>
  <si>
    <t xml:space="preserve">seller_name=Saini ji; total_amount=250000; date=T</t>
  </si>
  <si>
    <t xml:space="preserve">Amount in words</t>
  </si>
  <si>
    <t xml:space="preserve">PUR-C-06</t>
  </si>
  <si>
    <t xml:space="preserve">Choudhary ji ke building wale kitne dene baaki hain?</t>
  </si>
  <si>
    <t xml:space="preserve">चौधरी जी के बिल्डिंग वाले कितने देने बाकी हैं?</t>
  </si>
  <si>
    <t xml:space="preserve">How much is still to be paid to Choudhary ji for the building?</t>
  </si>
  <si>
    <t xml:space="preserve">Question — report</t>
  </si>
  <si>
    <t xml:space="preserve">PUR-C-07</t>
  </si>
  <si>
    <t xml:space="preserve">yadv ji ki haveli 4 lac me le li</t>
  </si>
  <si>
    <t xml:space="preserve">यादव जी की हवेली 4 लाख मे ले ली</t>
  </si>
  <si>
    <t xml:space="preserve">bought yadav ji's haveli for 4 lac</t>
  </si>
  <si>
    <t xml:space="preserve">Spelling (yadv, lac)</t>
  </si>
  <si>
    <t xml:space="preserve">purchase(note=le li)</t>
  </si>
  <si>
    <t xml:space="preserve">EXTRA entry: record_expense  400000.0</t>
  </si>
  <si>
    <t xml:space="preserve">PUR-C-08</t>
  </si>
  <si>
    <t xml:space="preserve">Pawan wala sauda toot gaya, dharamshala nahi li</t>
  </si>
  <si>
    <t xml:space="preserve">पवन वाला सौदा टूट गया, धर्मशाला नहीं ली</t>
  </si>
  <si>
    <t xml:space="preserve">The deal with Pawan broke, didn't buy the dharamshala</t>
  </si>
  <si>
    <t xml:space="preserve">Deal did not happen</t>
  </si>
  <si>
    <t xml:space="preserve">PUR-C-09</t>
  </si>
  <si>
    <t xml:space="preserve">Malik sahab ko 50k de diye</t>
  </si>
  <si>
    <t xml:space="preserve">मलिक साहब को 50 हज़ार दे दिए</t>
  </si>
  <si>
    <t xml:space="preserve">Gave Malik sahab 50k</t>
  </si>
  <si>
    <t xml:space="preserve">'50k'</t>
  </si>
  <si>
    <t xml:space="preserve">PUR-C-10</t>
  </si>
  <si>
    <t xml:space="preserve">Kothi ke liye Rana ji 6-7 lakh bol rahe hain, abhi pakka nahi</t>
  </si>
  <si>
    <t xml:space="preserve">कोठी के लिए राणा जी 6-7 लाख बोल रहे हैं, अभी पक्का नहीं</t>
  </si>
  <si>
    <t xml:space="preserve">Rana ji is asking 6-7 lakh for the bungalow, not final yet</t>
  </si>
  <si>
    <t xml:space="preserve">Range + not final</t>
  </si>
  <si>
    <t xml:space="preserve">PUR-D-01</t>
  </si>
  <si>
    <t xml:space="preserve">Tractor teen chakkar laga ke Yadav ji ki haveli wali 3000 eent gudam le aaya</t>
  </si>
  <si>
    <t xml:space="preserve">ट्रैक्टर तीन चक्कर लगा के यादव जी की हवेली वाली 3000 ईंट गोदाम ले आया</t>
  </si>
  <si>
    <t xml:space="preserve">The tractor made three trips and brought 3000 bricks from Yadav ji's haveli to the warehouse</t>
  </si>
  <si>
    <t xml:space="preserve">item_name=eent; quantity=3000; source_name=Yadav ji; destination_name=gudam; date=T</t>
  </si>
  <si>
    <t xml:space="preserve">Site → gudam movement, not a purchase</t>
  </si>
  <si>
    <t xml:space="preserve">material_movement(item_name=eent, quantity=3000, note=Yadav ji ki haveli wali, date=2026-10-08)</t>
  </si>
  <si>
    <t xml:space="preserve">PUR-D-02</t>
  </si>
  <si>
    <t xml:space="preserve">Malik sahab ki dukaan todne mein aaj 6 labour lage</t>
  </si>
  <si>
    <t xml:space="preserve">मलिक साहब की दुकान तोड़ने में आज 6 लेबर लगे</t>
  </si>
  <si>
    <t xml:space="preserve">6 labourers worked today breaking Malik sahab's shop</t>
  </si>
  <si>
    <t xml:space="preserve">location_type=site; description=dukaan todna; labour_count=6; date=T</t>
  </si>
  <si>
    <t xml:space="preserve">Work log at site</t>
  </si>
  <si>
    <t xml:space="preserve">record_work_log: location_type shop≠site</t>
  </si>
  <si>
    <t xml:space="preserve">PUR-D-03</t>
  </si>
  <si>
    <t xml:space="preserve">Choudhary ji wali building ka malba Sharma ji ko 5000 mein becha</t>
  </si>
  <si>
    <t xml:space="preserve">चौधरी जी वाली बिल्डिंग का मलबा शर्मा जी को 5000 में बेचा</t>
  </si>
  <si>
    <t xml:space="preserve">Sold the debris from Choudhary ji's building to Sharma ji for 5000</t>
  </si>
  <si>
    <t xml:space="preserve">customer_name=Sharma ji; item_name=malba; amount=5000; date=T</t>
  </si>
  <si>
    <t xml:space="preserve">Sale of debris</t>
  </si>
  <si>
    <t xml:space="preserve">sale_transaction(customer_name=Sharma ji, item_name=malba, amount=5000, date=2026-10-08)</t>
  </si>
  <si>
    <t xml:space="preserve">PUR-D-04</t>
  </si>
  <si>
    <t xml:space="preserve">Ram ko haveli pe kaam ke 600 diye</t>
  </si>
  <si>
    <t xml:space="preserve">राम को हवेली पे काम के 600 दिए</t>
  </si>
  <si>
    <t xml:space="preserve">Paid Ram 600 for work at the haveli</t>
  </si>
  <si>
    <t xml:space="preserve">employee_name=Ram; transaction_type=payment; amount=600; date=T</t>
  </si>
  <si>
    <t xml:space="preserve">employee_transaction(employee_name=Ram, transaction_type=payment, amount=600, note=haveli pe kaam ke, date=2026-10-08)</t>
  </si>
  <si>
    <t xml:space="preserve">PUR-D-05</t>
  </si>
  <si>
    <t xml:space="preserve">Haveli todne ke liye JCB ka kiraya 8000 diya</t>
  </si>
  <si>
    <t xml:space="preserve">हवेली तोड़ने के लिए जेसीबी का किराया 8000 दिया</t>
  </si>
  <si>
    <t xml:space="preserve">Paid 8000 JCB rent for breaking the haveli</t>
  </si>
  <si>
    <t xml:space="preserve">category=rent; amount=8000; description=JCB kiraya; date=T</t>
  </si>
  <si>
    <t xml:space="preserve">expense(amount=8000, category=rent, note=Haveli todne ke liye, date=2026-10-08)</t>
  </si>
  <si>
    <t xml:space="preserve">expense_payment(amount=8000, date=2026-10-08)</t>
  </si>
  <si>
    <t xml:space="preserve">expense_payment(amount=8000, note=Haveli todne ke liye, date=2026-10-08)</t>
  </si>
  <si>
    <t xml:space="preserve">PUR-D-06</t>
  </si>
  <si>
    <t xml:space="preserve">Rana ji ki kothi ke kaam pe Sohan ki hazri laga do</t>
  </si>
  <si>
    <t xml:space="preserve">राणा जी की कोठी के काम पे सोहन की हाज़िरी लगा दो</t>
  </si>
  <si>
    <t xml:space="preserve">Mark Sohan's attendance for the work at Rana ji's bungalow</t>
  </si>
  <si>
    <t xml:space="preserve">Attendance</t>
  </si>
  <si>
    <t xml:space="preserve">attendance(employee_name=Sohan, attendance=P, driving=absent, note=Rana ji ki kothi ke kaam pe laga do, date=2026-10-08)</t>
  </si>
  <si>
    <t xml:space="preserve">PUR-D-07</t>
  </si>
  <si>
    <t xml:space="preserve">Saini ji ke godown ki 40 kadiyan Suresh Traders ko 6000 mein di</t>
  </si>
  <si>
    <t xml:space="preserve">सैनी जी के गोदाम की 40 कड़ियां सुरेश ट्रेडर्स को 6000 में दीं</t>
  </si>
  <si>
    <t xml:space="preserve">Gave 40 beams from Saini ji's godown to Suresh Traders for 6000</t>
  </si>
  <si>
    <t xml:space="preserve">customer_name=Suresh Traders; item_name=kadi; quantity=40; amount=6000; date=T</t>
  </si>
  <si>
    <t xml:space="preserve">Sale; 'Saini ji ke godown' is only the source</t>
  </si>
  <si>
    <t xml:space="preserve">sale_transaction(customer_name=Suresh Traders, item_name=kadiyan, quantity=40, unit=piece, amount=6000, source=Saini ji ke godown, date=2026-10-08)</t>
  </si>
  <si>
    <t xml:space="preserve">sale_transaction(customer_name=Suresh Traders, supplier_name=Saini ji ke godown, item_name=kadiyan, quantity=40, unit=piece, amount=6000, source=Saini ji ke godown, date=2026-10-08)</t>
  </si>
  <si>
    <t xml:space="preserve">PUR-D-08</t>
  </si>
  <si>
    <t xml:space="preserve">Kothi wale kaam se lautte hue tractor mein 1500 ka diesel dalwaya</t>
  </si>
  <si>
    <t xml:space="preserve">कोठी वाले काम से लौटते हुए ट्रैक्टर में 1500 का डीज़ल डलवाया</t>
  </si>
  <si>
    <t xml:space="preserve">On the way back from the bungalow job, put 1500 of diesel in the tractor</t>
  </si>
  <si>
    <t xml:space="preserve">category=fuel; amount=1500; description=tractor diesel; date=T</t>
  </si>
  <si>
    <t xml:space="preserve">expense(amount=1500, category=fuel, note=Kothi wale kaam se lautte hue, date=2026-10-08)</t>
  </si>
  <si>
    <t xml:space="preserve">expense_payment(amount=1500, note=Kothi wale kaam se lautte hue, date=2026-10-08)</t>
  </si>
  <si>
    <t xml:space="preserve">PUR-D-09</t>
  </si>
  <si>
    <t xml:space="preserve">Malik sahab ki dukaan ka kaam khatam, 15 trolley malba gudam pahuncha</t>
  </si>
  <si>
    <t xml:space="preserve">मलिक साहब की दुकान का काम खत्म, 15 ट्रॉली मलबा गोदाम पहुंचा</t>
  </si>
  <si>
    <t xml:space="preserve">Work at Malik sahab's shop is over, 15 trolleys of debris reached the warehouse</t>
  </si>
  <si>
    <t xml:space="preserve">item_name=malba; quantity=15; source_name=Malik sahab; destination_name=gudam; date=T</t>
  </si>
  <si>
    <t xml:space="preserve">Site → gudam movement</t>
  </si>
  <si>
    <t xml:space="preserve">material_movement(item_name=malba, quantity=15, unit=trolley, date=2026-10-08)</t>
  </si>
  <si>
    <t xml:space="preserve">record_material_movement: source_name Shop≠Malik sahab</t>
  </si>
  <si>
    <t xml:space="preserve">PUR-D-10</t>
  </si>
  <si>
    <t xml:space="preserve">Haveli ke paison mein se SBI bhatte ka 10000 chukta kiya</t>
  </si>
  <si>
    <t xml:space="preserve">हवेली के पैसों में से एसबीआई भट्टे का 10000 चुकता किया</t>
  </si>
  <si>
    <t xml:space="preserve">Paid off 10000 to SBI kiln from the haveli money</t>
  </si>
  <si>
    <t xml:space="preserve">Supplier payment</t>
  </si>
  <si>
    <t xml:space="preserve">supplier_payment(supplier_name=SBI Bhatta, amount=10000, note=Haveli ke paison mein se, date=2026-10-08)</t>
  </si>
  <si>
    <t xml:space="preserve">EXTRA entry: record_expense_payment  10000.0</t>
  </si>
  <si>
    <t xml:space="preserve">PUR-E-01</t>
  </si>
  <si>
    <t xml:space="preserve">Yadav ji se haveli 4 lakh mein li aur todne pe 6 labour lagaye</t>
  </si>
  <si>
    <t xml:space="preserve">यादव जी से हवेली 4 लाख में ली और तोड़ने पे 6 लेबर लगाए</t>
  </si>
  <si>
    <t xml:space="preserve">Bought the haveli from Yadav ji for 4 lakh and put 6 labourers on breaking it</t>
  </si>
  <si>
    <t xml:space="preserve">Purchase + work log</t>
  </si>
  <si>
    <t xml:space="preserve">location_type=site; description=haveli todna; labour_count=6; date=T</t>
  </si>
  <si>
    <t xml:space="preserve">PUR-E-02</t>
  </si>
  <si>
    <t xml:space="preserve">Malik sahab ko 50000 diye aur Ram ko 500 dihadi</t>
  </si>
  <si>
    <t xml:space="preserve">मलिक साहब को 50000 दिए और राम को 500 दिहाड़ी</t>
  </si>
  <si>
    <t xml:space="preserve">Paid Malik sahab 50000 and Ram 500 daily wage</t>
  </si>
  <si>
    <t xml:space="preserve">Purchase payment + employee</t>
  </si>
  <si>
    <t xml:space="preserve">employee_transaction(employee_name=Ram, transaction_type=payment, amount=500, date=2026-10-08)</t>
  </si>
  <si>
    <t xml:space="preserve">PUR-E-03</t>
  </si>
  <si>
    <t xml:space="preserve">Choudhary ji ki building 8 lakh mein li, 2 lakh bayana diya, JCB ka 5000 kiraya bhi</t>
  </si>
  <si>
    <t xml:space="preserve">चौधरी जी की बिल्डिंग 8 लाख में ली, 2 लाख बयाना दिया, जेसीबी का 5000 किराया भी</t>
  </si>
  <si>
    <t xml:space="preserve">Bought Choudhary ji's building for 8 lakh, paid 2 lakh token, and 5000 JCB rent too</t>
  </si>
  <si>
    <t xml:space="preserve">Purchase + payment + expense</t>
  </si>
  <si>
    <t xml:space="preserve">purchase(note=200000 bayana diya, JCB ka 5000 kiraya)</t>
  </si>
  <si>
    <t xml:space="preserve">purchase(note=JCB ka 5000 kiraya bhi)</t>
  </si>
  <si>
    <t xml:space="preserve">purchase_payment(amount=200000, note=bayana diya, date=2026-10-08)</t>
  </si>
  <si>
    <t xml:space="preserve">purchase_payment(amount=200000, note=JCB ka 5000 kiraya, date=2026-10-08)</t>
  </si>
  <si>
    <t xml:space="preserve">category=rent; amount=5000; description=JCB kiraya; date=T</t>
  </si>
  <si>
    <t xml:space="preserve">expense(amount=5000, category=rent, note=Choudhary ji ki building 800000 mein li, 200000 bayana diya, date=2026-10-08)</t>
  </si>
  <si>
    <t xml:space="preserve">PUR-E-04</t>
  </si>
  <si>
    <t xml:space="preserve">Saini ji ke godown se 1000 eent gudam aayi aur unko 30000 bheje</t>
  </si>
  <si>
    <t xml:space="preserve">सैनी जी के गोदाम से 1000 ईंट गोदाम आईं और उनको 30000 भेजे</t>
  </si>
  <si>
    <t xml:space="preserve">1000 bricks came from Saini ji's godown to the warehouse and sent him 30000</t>
  </si>
  <si>
    <t xml:space="preserve">item_name=eent; quantity=1000; source_name=Saini ji; destination_name=gudam; date=T</t>
  </si>
  <si>
    <t xml:space="preserve">Same person as site and seller</t>
  </si>
  <si>
    <t xml:space="preserve">material_movement(item_name=eent, quantity=1000, date=2026-10-08)</t>
  </si>
  <si>
    <t xml:space="preserve">seller_name=Saini ji; amount=30000; date=T</t>
  </si>
  <si>
    <t xml:space="preserve">purchase_payment(amount=30000, date=2026-10-08)</t>
  </si>
  <si>
    <t xml:space="preserve">PUR-E-05</t>
  </si>
  <si>
    <t xml:space="preserve">Rana ji ki kothi 6 lakh mein pakki, aur Papa 2000 ghar ke liye le gaye</t>
  </si>
  <si>
    <t xml:space="preserve">राणा जी की कोठी 6 लाख में पक्की, और पापा 2000 घर के लिए ले गए</t>
  </si>
  <si>
    <t xml:space="preserve">Rana ji's bungalow fixed at 6 lakh, and Papa took 2000 for home</t>
  </si>
  <si>
    <t xml:space="preserve">Purchase + family</t>
  </si>
  <si>
    <t xml:space="preserve">family_transaction(member_name=Papa, transaction_type=kharcha, amount=2000, date=2026-10-08)</t>
  </si>
  <si>
    <t xml:space="preserve">PUR-E-06</t>
  </si>
  <si>
    <t xml:space="preserve">Pawan se dharamshala 3 lakh mein li, wahan ka 2000 ka malba Sharma ji ko becha</t>
  </si>
  <si>
    <t xml:space="preserve">पवन से धर्मशाला 3 लाख में ली, वहां का 2000 का मलबा शर्मा जी को बेचा</t>
  </si>
  <si>
    <t xml:space="preserve">Bought the dharamshala from Pawan for 3 lakh, sold 2000 worth of its debris to Sharma ji</t>
  </si>
  <si>
    <t xml:space="preserve">Purchase + sale</t>
  </si>
  <si>
    <t xml:space="preserve">customer_name=Sharma ji; item_name=malba; amount=2000; date=T</t>
  </si>
  <si>
    <t xml:space="preserve">sale_transaction(customer_name=Sharma ji, item_name=malba, amount=2000, date=2026-10-08)</t>
  </si>
  <si>
    <t xml:space="preserve">PUR-E-07</t>
  </si>
  <si>
    <t xml:space="preserve">Kal Yadav ji ko 1 lakh diye, aaj haveli se 2000 eent shop pahunchi</t>
  </si>
  <si>
    <t xml:space="preserve">कल यादव जी को 1 लाख दिए, आज हवेली से 2000 ईंट दुकान पहुंचीं</t>
  </si>
  <si>
    <t xml:space="preserve">Gave Yadav ji 1 lakh yesterday, today 2000 bricks reached the shop from the haveli</t>
  </si>
  <si>
    <t xml:space="preserve">seller_name=Yadav ji; amount=100000; date=T-1</t>
  </si>
  <si>
    <t xml:space="preserve">Payment yesterday + movement today</t>
  </si>
  <si>
    <t xml:space="preserve">asked location (Haveli) → stopped</t>
  </si>
  <si>
    <t xml:space="preserve">record_purchase_payment: asked material_movement:LOCATION_TYPE_CONFIRMATION </t>
  </si>
  <si>
    <t xml:space="preserve">purchase_payment(amount=100000, date=2026-10-07)</t>
  </si>
  <si>
    <t xml:space="preserve">item_name=eent; quantity=2000; source_name=haveli; destination_name=shop; date=T</t>
  </si>
  <si>
    <t xml:space="preserve">PUR-E-08</t>
  </si>
  <si>
    <t xml:space="preserve">Malik sahab ka sauda 1.5 lakh, Kitanu aaj aaya, 800 ka diesel</t>
  </si>
  <si>
    <t xml:space="preserve">मलिक साहब का सौदा 1.5 लाख, कितनू आज आया, 800 का डीज़ल</t>
  </si>
  <si>
    <t xml:space="preserve">Malik sahab's deal 1.5 lakh, Kitanu came today, 800 of diesel</t>
  </si>
  <si>
    <t xml:space="preserve">Four entries in short words</t>
  </si>
  <si>
    <t xml:space="preserve">attendance(employee_name=Kitanu, attendance=P, driving=absent, date=2026-10-08)</t>
  </si>
  <si>
    <t xml:space="preserve">category=fuel; amount=800; description=diesel; date=T</t>
  </si>
  <si>
    <t xml:space="preserve">expense(amount=800, category=fuel, date=2026-10-08)</t>
  </si>
  <si>
    <t xml:space="preserve">expense_payment(amount=800, date=2026-10-08)</t>
  </si>
  <si>
    <t xml:space="preserve">PUR-E-09</t>
  </si>
  <si>
    <t xml:space="preserve">SBI bhatte ko 5000 aur Choudhary ji ko building ke 1 lakh diye</t>
  </si>
  <si>
    <t xml:space="preserve">एसबीआई भट्टे को 5000 और चौधरी जी को बिल्डिंग के 1 लाख दिए</t>
  </si>
  <si>
    <t xml:space="preserve">Paid 5000 to SBI kiln and 1 lakh to Choudhary ji for the building</t>
  </si>
  <si>
    <t xml:space="preserve">Supplier payment + purchase payment</t>
  </si>
  <si>
    <t xml:space="preserve">supplier_payment(supplier_name=SBI Bhatta, amount=5000, date=2026-10-08)</t>
  </si>
  <si>
    <t xml:space="preserve">seller_name=Choudhary ji; amount=100000; date=T</t>
  </si>
  <si>
    <t xml:space="preserve">purchase_payment(amount=100000, note=building ke, date=2026-10-08)</t>
  </si>
  <si>
    <t xml:space="preserve">PUR-E-10</t>
  </si>
  <si>
    <t xml:space="preserve">Rana ji ko 2 lakh diye aur Suresh Traders se 10000 aaye</t>
  </si>
  <si>
    <t xml:space="preserve">राणा जी को 2 लाख दिए और सुरेश ट्रेडर्स से 10000 आए</t>
  </si>
  <si>
    <t xml:space="preserve">Paid Rana ji 2 lakh and received 10000 from Suresh Traders</t>
  </si>
  <si>
    <t xml:space="preserve">seller_name=Rana ji; amount=200000; date=T</t>
  </si>
  <si>
    <t xml:space="preserve">Money out + money in</t>
  </si>
  <si>
    <t xml:space="preserve">customer_name=Suresh Traders; amount=10000; date=T</t>
  </si>
  <si>
    <t xml:space="preserve">sale_payment(customer_name=Suresh Traders, amount=10000, date=2026-10-08)</t>
  </si>
  <si>
    <t xml:space="preserve">Report bundle — does a report question go to the report flow with the right kind, name and dates?</t>
  </si>
  <si>
    <t xml:space="preserve">Only the LLM part is tested: route, report kind, person (DB spelling), role, dates and language at the first question. The PDF and its numbers (Python/SQL) are NOT tested here. Date codes: T = test day (2026-10-08), T-N = N days before, M0 = 1st of this month, PM_S/PM_E = previous month, Y0 = 1 Jan, MM-DD = that date; (ask) = not stated, system must ask.</t>
  </si>
  <si>
    <t xml:space="preserve">Route</t>
  </si>
  <si>
    <t xml:space="preserve">Kind</t>
  </si>
  <si>
    <t xml:space="preserve">Person</t>
  </si>
  <si>
    <t xml:space="preserve">Role</t>
  </si>
  <si>
    <t xml:space="preserve">Start</t>
  </si>
  <si>
    <t xml:space="preserve">End</t>
  </si>
  <si>
    <t xml:space="preserve">Language</t>
  </si>
  <si>
    <t xml:space="preserve">Before — Actual (baseline 10:58)</t>
  </si>
  <si>
    <t xml:space="preserve">Before — Result</t>
  </si>
  <si>
    <t xml:space="preserve">After — Actual (full run 11:16)</t>
  </si>
  <si>
    <t xml:space="preserve">After — Result</t>
  </si>
  <si>
    <t xml:space="preserve">RPT-A-01</t>
  </si>
  <si>
    <t xml:space="preserve">Zara Sharma ji wala khata kholo, poora lena dena dekhna hai</t>
  </si>
  <si>
    <t xml:space="preserve">ज़रा शर्मा जी वाला खाता खोलो, पूरा लेना देना देखना है</t>
  </si>
  <si>
    <t xml:space="preserve">Open Sharma ji's account, want to see all dues</t>
  </si>
  <si>
    <t xml:space="preserve">person</t>
  </si>
  <si>
    <t xml:space="preserve">Sharma ji</t>
  </si>
  <si>
    <t xml:space="preserve">(ask)</t>
  </si>
  <si>
    <t xml:space="preserve">Customer ledger, no date (system should ask)</t>
  </si>
  <si>
    <t xml:space="preserve">kind=person, person_name=Zara Sharma</t>
  </si>
  <si>
    <t xml:space="preserve">naam Zara Sharma≠Sharma ji; report ruki: 'Zara Sharma' ka koi hisab nahi hai.</t>
  </si>
  <si>
    <t xml:space="preserve">kind=person, person_name=Sharma</t>
  </si>
  <si>
    <t xml:space="preserve">1116</t>
  </si>
  <si>
    <t xml:space="preserve">RPT-A-02</t>
  </si>
  <si>
    <t xml:space="preserve">Suresh Traders pe hamara kitna udhaar chadha hua hai abhi</t>
  </si>
  <si>
    <t xml:space="preserve">सुरेश ट्रेडर्स पे हमारा कितना उधार चढ़ा हुआ है अभी</t>
  </si>
  <si>
    <t xml:space="preserve">How much credit is outstanding on Suresh Traders right now</t>
  </si>
  <si>
    <t xml:space="preserve">Suresh Traders</t>
  </si>
  <si>
    <t xml:space="preserve">Balance question = report, not entry</t>
  </si>
  <si>
    <t xml:space="preserve">kind=person, person_name=Suresh Traders</t>
  </si>
  <si>
    <t xml:space="preserve">RPT-A-03</t>
  </si>
  <si>
    <t xml:space="preserve">Bhatte wale SBI ki pichle 14 dino ki entries ka report bana do</t>
  </si>
  <si>
    <t xml:space="preserve">भट्टे वाले एसबीआई की पिछले 14 दिनों की एंट्री की रिपोर्ट बना दो</t>
  </si>
  <si>
    <t xml:space="preserve">Make a report of the last 14 days' entries of SBI kiln</t>
  </si>
  <si>
    <t xml:space="preserve">SBI Bhatta</t>
  </si>
  <si>
    <t xml:space="preserve">supplier</t>
  </si>
  <si>
    <t xml:space="preserve">T-13</t>
  </si>
  <si>
    <t xml:space="preserve">T</t>
  </si>
  <si>
    <t xml:space="preserve">Supplier + 14 days</t>
  </si>
  <si>
    <t xml:space="preserve">kind=cash_flow, start=2026-09-25, end=2026-10-08</t>
  </si>
  <si>
    <t xml:space="preserve">kind cash_flow≠person; naam None≠SBI Bhatta; role None≠supplier</t>
  </si>
  <si>
    <t xml:space="preserve">kind=person, person_name=SBI Bhatta, role=supplier, start=2026-09-25, end=2026-10-08</t>
  </si>
  <si>
    <t xml:space="preserve">RPT-A-04</t>
  </si>
  <si>
    <t xml:space="preserve">Is mahine Ram ko kya kya diya aur kitna kaam kiya, report do</t>
  </si>
  <si>
    <t xml:space="preserve">इस महीने राम को क्या क्या दिया और कितना काम किया, रिपोर्ट दो</t>
  </si>
  <si>
    <t xml:space="preserve">Give a report of what Ram was paid and how much he worked this month</t>
  </si>
  <si>
    <t xml:space="preserve">Ram</t>
  </si>
  <si>
    <t xml:space="preserve">M0</t>
  </si>
  <si>
    <t xml:space="preserve">'diya / kaam kiya' must not become entries</t>
  </si>
  <si>
    <t xml:space="preserve">kind=person, person_name=Ram, start=2026-10-01, end=2026-10-08</t>
  </si>
  <si>
    <t xml:space="preserve">RPT-A-05</t>
  </si>
  <si>
    <t xml:space="preserve">Kitanu ka khata dikhao English mein</t>
  </si>
  <si>
    <t xml:space="preserve">कितनू का खाता दिखाओ इंग्लिश में</t>
  </si>
  <si>
    <t xml:space="preserve">Show Kitanu's account in English</t>
  </si>
  <si>
    <t xml:space="preserve">Kitanu</t>
  </si>
  <si>
    <t xml:space="preserve">en</t>
  </si>
  <si>
    <t xml:space="preserve">Language stated</t>
  </si>
  <si>
    <t xml:space="preserve">kind=person, person_name=kitanu, lang=en</t>
  </si>
  <si>
    <t xml:space="preserve">RPT-A-06</t>
  </si>
  <si>
    <t xml:space="preserve">1 se 15 september tak Suresh Traders ka hisab</t>
  </si>
  <si>
    <t xml:space="preserve">1 से 15 सितंबर तक सुरेश ट्रेडर्स का हिसाब</t>
  </si>
  <si>
    <t xml:space="preserve">Suresh Traders' account from 1 to 15 September</t>
  </si>
  <si>
    <t xml:space="preserve">09-01</t>
  </si>
  <si>
    <t xml:space="preserve">09-15</t>
  </si>
  <si>
    <t xml:space="preserve">Explicit date range</t>
  </si>
  <si>
    <t xml:space="preserve">kind=person, person_name=Suresh Traders, start=2026-09-01, end=2026-09-15</t>
  </si>
  <si>
    <t xml:space="preserve">RPT-B-01</t>
  </si>
  <si>
    <t xml:space="preserve">October mein dukaan ke kharchon ki list nikalo</t>
  </si>
  <si>
    <t xml:space="preserve">अक्टूबर में दुकान के खर्चों की लिस्ट निकालो</t>
  </si>
  <si>
    <t xml:space="preserve">List the shop's expenses in October</t>
  </si>
  <si>
    <t xml:space="preserve">expense</t>
  </si>
  <si>
    <t xml:space="preserve">10-01</t>
  </si>
  <si>
    <t xml:space="preserve">10-31|T</t>
  </si>
  <si>
    <t xml:space="preserve">Month name</t>
  </si>
  <si>
    <t xml:space="preserve">kind=expense, start=2026-10-01, end=2026-10-08</t>
  </si>
  <si>
    <t xml:space="preserve">RPT-B-02</t>
  </si>
  <si>
    <t xml:space="preserve">Aaj galle mein kitna cash aaya aur kitna gaya</t>
  </si>
  <si>
    <t xml:space="preserve">आज गल्ले में कितना कैश आया और कितना गया</t>
  </si>
  <si>
    <t xml:space="preserve">How much cash came in and went out of the till today</t>
  </si>
  <si>
    <t xml:space="preserve">cash_flow</t>
  </si>
  <si>
    <t xml:space="preserve">Cash flow today</t>
  </si>
  <si>
    <t xml:space="preserve">kind=cash_flow, start=2026-10-08, end=2026-10-08</t>
  </si>
  <si>
    <t xml:space="preserve">RPT-B-03</t>
  </si>
  <si>
    <t xml:space="preserve">Pichle mahine ka poore business ka hisab chahiye</t>
  </si>
  <si>
    <t xml:space="preserve">पिछले महीने का पूरे बिज़नेस का हिसाब चाहिए</t>
  </si>
  <si>
    <t xml:space="preserve">Need the whole business account for last month</t>
  </si>
  <si>
    <t xml:space="preserve">overall</t>
  </si>
  <si>
    <t xml:space="preserve">PM_S</t>
  </si>
  <si>
    <t xml:space="preserve">PM_E</t>
  </si>
  <si>
    <t xml:space="preserve">Overall, previous month</t>
  </si>
  <si>
    <t xml:space="preserve">kind=overall, start=2026-09-01, end=2026-09-30</t>
  </si>
  <si>
    <t xml:space="preserve">RPT-B-04</t>
  </si>
  <si>
    <t xml:space="preserve">Kal kis din kya kaam hua site pe, register dikhao</t>
  </si>
  <si>
    <t xml:space="preserve">कल किस दिन क्या काम हुआ साइट पे, रजिस्टर दिखाओ</t>
  </si>
  <si>
    <t xml:space="preserve">Show the register of what work happened at the site yesterday</t>
  </si>
  <si>
    <t xml:space="preserve">work_log</t>
  </si>
  <si>
    <t xml:space="preserve">T-1</t>
  </si>
  <si>
    <t xml:space="preserve">Work log yesterday</t>
  </si>
  <si>
    <t xml:space="preserve">kind=work_log, start=2026-10-07, end=2026-10-07</t>
  </si>
  <si>
    <t xml:space="preserve">RPT-B-05</t>
  </si>
  <si>
    <t xml:space="preserve">Sitambar mahine ki maal aawajahi ki report</t>
  </si>
  <si>
    <t xml:space="preserve">सितंबर महीने की माल आवाजाही की रिपोर्ट</t>
  </si>
  <si>
    <t xml:space="preserve">Report of material movement in September</t>
  </si>
  <si>
    <t xml:space="preserve">material_movement</t>
  </si>
  <si>
    <t xml:space="preserve">09-30</t>
  </si>
  <si>
    <t xml:space="preserve">Misspelt month</t>
  </si>
  <si>
    <t xml:space="preserve">kind=material_movement, start=2026-09-01, end=2026-09-30</t>
  </si>
  <si>
    <t xml:space="preserve">RPT-B-06</t>
  </si>
  <si>
    <t xml:space="preserve">Property wale saudon ka hisab dikha do</t>
  </si>
  <si>
    <t xml:space="preserve">प्रॉपर्टी वाले सौदों का हिसाब दिखा दो</t>
  </si>
  <si>
    <t xml:space="preserve">Show the account of the property deals</t>
  </si>
  <si>
    <t xml:space="preserve">purchase</t>
  </si>
  <si>
    <t xml:space="preserve">Purchase report</t>
  </si>
  <si>
    <t xml:space="preserve">kind=purchase</t>
  </si>
  <si>
    <t xml:space="preserve">RPT-B-07</t>
  </si>
  <si>
    <t xml:space="preserve">Pichle 7 dino mein galle se kya aaya kya gaya</t>
  </si>
  <si>
    <t xml:space="preserve">पिछले 7 दिनों में गल्ले से क्या आया क्या गया</t>
  </si>
  <si>
    <t xml:space="preserve">What came into and went out of the till in the last 7 days</t>
  </si>
  <si>
    <t xml:space="preserve">T-6</t>
  </si>
  <si>
    <t xml:space="preserve">7 days</t>
  </si>
  <si>
    <t xml:space="preserve">kind=cash_flow, start=2026-10-01, end=2026-10-08</t>
  </si>
  <si>
    <t xml:space="preserve">start 2026-10-01≠['2026-10-02']</t>
  </si>
  <si>
    <t xml:space="preserve">kind=cash_flow, start=2026-10-02, end=2026-10-08</t>
  </si>
  <si>
    <t xml:space="preserve">RPT-B-08</t>
  </si>
  <si>
    <t xml:space="preserve">Pichle 3 mahine ki kharid ka hisab</t>
  </si>
  <si>
    <t xml:space="preserve">पिछले 3 महीने की खरीद का हिसाब</t>
  </si>
  <si>
    <t xml:space="preserve">Account of purchases in the last 3 months</t>
  </si>
  <si>
    <t xml:space="preserve">T-3M</t>
  </si>
  <si>
    <t xml:space="preserve">3 months</t>
  </si>
  <si>
    <t xml:space="preserve">kind=purchase, start=2026-07-08, end=2026-10-08</t>
  </si>
  <si>
    <t xml:space="preserve">start 2026-07-08≠['2026-07-09', '2026-07-09']</t>
  </si>
  <si>
    <t xml:space="preserve">kind=purchase, start=2026-07-09, end=2026-10-08</t>
  </si>
  <si>
    <t xml:space="preserve">RPT-C-01</t>
  </si>
  <si>
    <t xml:space="preserve">ek report bana do bhai</t>
  </si>
  <si>
    <t xml:space="preserve">एक रिपोर्ट बना दो भाई</t>
  </si>
  <si>
    <t xml:space="preserve">make a report</t>
  </si>
  <si>
    <t xml:space="preserve">Kind not stated — must ask, not guess 'overall'</t>
  </si>
  <si>
    <t xml:space="preserve">report (nothing parsed)</t>
  </si>
  <si>
    <t xml:space="preserve">RPT-C-02</t>
  </si>
  <si>
    <t xml:space="preserve">Ghar ka kharcha is saal kitna gaya</t>
  </si>
  <si>
    <t xml:space="preserve">घर का खर्चा इस साल कितना गया</t>
  </si>
  <si>
    <t xml:space="preserve">How much household spending went this year</t>
  </si>
  <si>
    <t xml:space="preserve">family</t>
  </si>
  <si>
    <t xml:space="preserve">Y0</t>
  </si>
  <si>
    <t xml:space="preserve">Family report, not business expense</t>
  </si>
  <si>
    <t xml:space="preserve">kind=person, role=family, start=2026-01-01, end=2026-10-08</t>
  </si>
  <si>
    <t xml:space="preserve">RPT-C-03</t>
  </si>
  <si>
    <t xml:space="preserve">Papa ne is mahine kitne paise liye, dikhao</t>
  </si>
  <si>
    <t xml:space="preserve">पापा ने इस महीने कितने पैसे लिए, दिखाओ</t>
  </si>
  <si>
    <t xml:space="preserve">Show how much money Papa took this month</t>
  </si>
  <si>
    <t xml:space="preserve">Papa</t>
  </si>
  <si>
    <t xml:space="preserve">'liye' must not become a family entry</t>
  </si>
  <si>
    <t xml:space="preserve">kind cash_flow≠person; naam None≠Papa</t>
  </si>
  <si>
    <t xml:space="preserve">kind=person, person_name=Papa, start=2026-10-01, end=2026-10-08</t>
  </si>
  <si>
    <t xml:space="preserve">RPT-C-04</t>
  </si>
  <si>
    <t xml:space="preserve">sohan ki puri entri dkhao bhai</t>
  </si>
  <si>
    <t xml:space="preserve">सोहन की पूरी एंट्री दिखाओ भाई</t>
  </si>
  <si>
    <t xml:space="preserve">show all of sohan's entries</t>
  </si>
  <si>
    <t xml:space="preserve">Sohan</t>
  </si>
  <si>
    <t xml:space="preserve">kind=person, person_name=sohan</t>
  </si>
  <si>
    <t xml:space="preserve">RPT-D-01</t>
  </si>
  <si>
    <t xml:space="preserve">Sharma ji ka hisab clear ho gaya, 4000 de gaye</t>
  </si>
  <si>
    <t xml:space="preserve">शर्मा जी का हिसाब क्लियर हो गया, 4000 दे गए</t>
  </si>
  <si>
    <t xml:space="preserve">Sharma ji's account is cleared, he paid 4000</t>
  </si>
  <si>
    <t xml:space="preserve">entry (not a report)</t>
  </si>
  <si>
    <t xml:space="preserve">'hisab' word but money came — accounting</t>
  </si>
  <si>
    <t xml:space="preserve">route=accounting; entries: none</t>
  </si>
  <si>
    <t xml:space="preserve">route accounting, koi entry nahi</t>
  </si>
  <si>
    <t xml:space="preserve">route=accounting; entries: record_sale_payment</t>
  </si>
  <si>
    <t xml:space="preserve">RPT-D-02</t>
  </si>
  <si>
    <t xml:space="preserve">Ram ka aaj ka 600 banta tha, de diya</t>
  </si>
  <si>
    <t xml:space="preserve">राम का आज का 600 बनता था, दे दिया</t>
  </si>
  <si>
    <t xml:space="preserve">Ram's 600 for today was due, paid it</t>
  </si>
  <si>
    <t xml:space="preserve">Payment — accounting, not report</t>
  </si>
  <si>
    <t xml:space="preserve">route=accounting; entries: record_employee_transaction</t>
  </si>
  <si>
    <t xml:space="preserve">Correction bundle — is a correction recognised (not a new entry), with the right name and date?</t>
  </si>
  <si>
    <t xml:space="preserve">The correction flow is menu-driven: the LLM only recognises the correction and reads name + date; category, entry list and delete / new statement are menus (Python). The test stops at the first correction question and checks what was understood. C = a new entry in the same statement must reach final confirmation; D = not a correction, the entry must be saved. Date codes: T = 2026-10-08, T-N = N days before, MM-DD = that date, (ask) = not a fixed date, system must ask.</t>
  </si>
  <si>
    <t xml:space="preserve">After = latest result per test: the full 25-test run at 11:28 plus a re-run of 9 tests at 11:57 after the fixes (no single full run after the fixes). Both run files are kept as proof.</t>
  </si>
  <si>
    <t xml:space="preserve">Name</t>
  </si>
  <si>
    <t xml:space="preserve">Date</t>
  </si>
  <si>
    <t xml:space="preserve">New entry expected</t>
  </si>
  <si>
    <t xml:space="preserve">Before — Actual (baseline 11:28)</t>
  </si>
  <si>
    <t xml:space="preserve">After — Actual (latest per test: 11:28 + 11:57)</t>
  </si>
  <si>
    <t xml:space="preserve">COR-A-01</t>
  </si>
  <si>
    <t xml:space="preserve">Ram ki kal wali haazri galat chadh gayi, wo aaya hi nahi tha</t>
  </si>
  <si>
    <t xml:space="preserve">राम की कल वाली हाज़री गलत चढ़ गई, वो आया ही नहीं था</t>
  </si>
  <si>
    <t xml:space="preserve">Ram's attendance for yesterday was recorded wrongly, he didn't even come</t>
  </si>
  <si>
    <t xml:space="preserve">correction</t>
  </si>
  <si>
    <t xml:space="preserve">'aaya hi nahi' — attendance net se nayi entry nahi</t>
  </si>
  <si>
    <t xml:space="preserve">correction (name=Ram, date=2026-10-07); confirmed: record_attendance</t>
  </si>
  <si>
    <t xml:space="preserve">galat nayi entry tayyar: ['record_attendance']</t>
  </si>
  <si>
    <t xml:space="preserve">correction (name=Ram, date=2026-10-07)</t>
  </si>
  <si>
    <t xml:space="preserve">1157</t>
  </si>
  <si>
    <t xml:space="preserve">COR-A-02</t>
  </si>
  <si>
    <t xml:space="preserve">Sharma ji se 3 tareekh ko jo 5000 aaye the, wo entry galat hai</t>
  </si>
  <si>
    <t xml:space="preserve">शर्मा जी से 3 तारीख को जो 5000 आए थे, वो एंट्री गलत है</t>
  </si>
  <si>
    <t xml:space="preserve">The 5000 received from Sharma ji on the 3rd is a wrong entry</t>
  </si>
  <si>
    <t xml:space="preserve">10-03</t>
  </si>
  <si>
    <t xml:space="preserve">correction (name=Sharma ji, date=2026-10-03)</t>
  </si>
  <si>
    <t xml:space="preserve">1128</t>
  </si>
  <si>
    <t xml:space="preserve">COR-A-03</t>
  </si>
  <si>
    <t xml:space="preserve">Suresh Traders ka parso wala bill galti se do baar likh diya</t>
  </si>
  <si>
    <t xml:space="preserve">सुरेश ट्रेडर्स का परसों वाला बिल गलती से दो बार लिख दिया</t>
  </si>
  <si>
    <t xml:space="preserve">Suresh Traders' bill from day before yesterday was written twice by mistake</t>
  </si>
  <si>
    <t xml:space="preserve">T-2</t>
  </si>
  <si>
    <t xml:space="preserve">correction (name=Suresh Traders, date=2026-10-06)</t>
  </si>
  <si>
    <t xml:space="preserve">COR-A-04</t>
  </si>
  <si>
    <t xml:space="preserve">Kitanu ko 2 din pehle 800 diye the, wo 600 the, theek kar do</t>
  </si>
  <si>
    <t xml:space="preserve">कितनू को 2 दिन पहले 800 दिए थे, वो 600 थे, ठीक कर दो</t>
  </si>
  <si>
    <t xml:space="preserve">Kitanu was given 800 two days ago, it was 600, fix it</t>
  </si>
  <si>
    <t xml:space="preserve">'800 diye' se nayi payment nahi</t>
  </si>
  <si>
    <t xml:space="preserve">saved: record_employee_transaction</t>
  </si>
  <si>
    <t xml:space="preserve">correction nahi pehchana; naam None≠Kitanu; date None≠2026-10-06; entry bani: ['record_employee_transaction']; galat nayi entry tayyar: ['record_employee_transaction']</t>
  </si>
  <si>
    <t xml:space="preserve">correction (name=Kitanu, date=2026-10-06)</t>
  </si>
  <si>
    <t xml:space="preserve">COR-A-05</t>
  </si>
  <si>
    <t xml:space="preserve">5 october ko Sohan ke naam pe jo kaam chadhaya wo cancel karo</t>
  </si>
  <si>
    <t xml:space="preserve">5 अक्टूबर को सोहन के नाम पे जो काम चढ़ाया वो कैंसल करो</t>
  </si>
  <si>
    <t xml:space="preserve">Cancel the work entered in Sohan's name on 5 October</t>
  </si>
  <si>
    <t xml:space="preserve">10-05</t>
  </si>
  <si>
    <t xml:space="preserve">correction (name=Sohan, date=2026-10-05)</t>
  </si>
  <si>
    <t xml:space="preserve">COR-A-06</t>
  </si>
  <si>
    <t xml:space="preserve">Papa ne kal galle se 2000 liye the wali entry hata do</t>
  </si>
  <si>
    <t xml:space="preserve">पापा ने कल गल्ले से 2000 लिए थे वाली एंट्री हटा दो</t>
  </si>
  <si>
    <t xml:space="preserve">Remove the entry of Papa taking 2000 from the till yesterday</t>
  </si>
  <si>
    <t xml:space="preserve">'liye the' se family entry nahi</t>
  </si>
  <si>
    <t xml:space="preserve">correction (name=None, date=None); confirmed: record_family_transaction</t>
  </si>
  <si>
    <t xml:space="preserve">naam None≠Papa; date None≠2026-10-07; galat nayi entry tayyar: ['record_family_transaction']</t>
  </si>
  <si>
    <t xml:space="preserve">COR-A-07</t>
  </si>
  <si>
    <t xml:space="preserve">SBI Bhatte ki 1 tareekh wali eent ki entry mein rate galat lag gaya</t>
  </si>
  <si>
    <t xml:space="preserve">एसबीआई भट्टे की 1 तारीख वाली ईंट की एंट्री में रेट गलत लग गया</t>
  </si>
  <si>
    <t xml:space="preserve">The rate in the 1st's brick entry of SBI kiln is wrong</t>
  </si>
  <si>
    <t xml:space="preserve">correction (name=SBI Bhatte, date=2026-10-01)</t>
  </si>
  <si>
    <t xml:space="preserve">COR-B-01</t>
  </si>
  <si>
    <t xml:space="preserve">Kal wali diesel ki entry mein galti ho gayi hai</t>
  </si>
  <si>
    <t xml:space="preserve">कल वाली डीज़ल की एंट्री में गलती हो गई है</t>
  </si>
  <si>
    <t xml:space="preserve">There is a mistake in yesterday's diesel entry</t>
  </si>
  <si>
    <t xml:space="preserve">(none)</t>
  </si>
  <si>
    <t xml:space="preserve">correction (name=None, date=2026-10-07)</t>
  </si>
  <si>
    <t xml:space="preserve">COR-B-02</t>
  </si>
  <si>
    <t xml:space="preserve">Pichli wali entry mein rakam galat chadh gayi</t>
  </si>
  <si>
    <t xml:space="preserve">पिछली वाली एंट्री में रकम गलत चढ़ गई</t>
  </si>
  <si>
    <t xml:space="preserve">The amount in the previous entry was entered wrong</t>
  </si>
  <si>
    <t xml:space="preserve">'pichli wali' tareekh nahi — poochhna chahiye</t>
  </si>
  <si>
    <t xml:space="preserve">correction (name=None, date=None)</t>
  </si>
  <si>
    <t xml:space="preserve">COR-B-03</t>
  </si>
  <si>
    <t xml:space="preserve">Ram ka jo payment likha tha usme gadbad hai, sahi karna hai</t>
  </si>
  <si>
    <t xml:space="preserve">राम का जो पेमेंट लिखा था उसमें गड़बड़ है, सही करना है</t>
  </si>
  <si>
    <t xml:space="preserve">Something is wrong in Ram's payment that was written, need to fix it</t>
  </si>
  <si>
    <t xml:space="preserve">correction (name=Ram, date=None)</t>
  </si>
  <si>
    <t xml:space="preserve">COR-B-04</t>
  </si>
  <si>
    <t xml:space="preserve">Aaj subah jo bijli ka bill chadhaya wo hata do</t>
  </si>
  <si>
    <t xml:space="preserve">आज सुबह जो बिजली का बिल चढ़ाया वो हटा दो</t>
  </si>
  <si>
    <t xml:space="preserve">Remove the electricity bill entered this morning</t>
  </si>
  <si>
    <t xml:space="preserve">correction (name=None, date=2026-10-08)</t>
  </si>
  <si>
    <t xml:space="preserve">COR-B-05</t>
  </si>
  <si>
    <t xml:space="preserve">Galti se 4000 ki jagah 40000 likh diya, theek karo</t>
  </si>
  <si>
    <t xml:space="preserve">गलती से 4000 की जगह 40000 लिख दिया, ठीक करो</t>
  </si>
  <si>
    <t xml:space="preserve">Wrote 40000 instead of 4000 by mistake, fix it</t>
  </si>
  <si>
    <t xml:space="preserve">COR-B-06</t>
  </si>
  <si>
    <t xml:space="preserve">Suresh Traders ke khate mein se wo ek entry hatwani hai</t>
  </si>
  <si>
    <t xml:space="preserve">सुरेश ट्रेडर्स के खाते में से वो एक एंट्री हटवानी है</t>
  </si>
  <si>
    <t xml:space="preserve">Need to get that one entry removed from Suresh Traders' account</t>
  </si>
  <si>
    <t xml:space="preserve">'hatwani' — regex ka shabd nahi</t>
  </si>
  <si>
    <t xml:space="preserve">correction (name=Suresh Traders, date=None)</t>
  </si>
  <si>
    <t xml:space="preserve">COR-C-01</t>
  </si>
  <si>
    <t xml:space="preserve">Ram ko aaj 500 diye, aur kal ki uski haazri galat lagi thi</t>
  </si>
  <si>
    <t xml:space="preserve">राम को आज 500 दिए, और कल की उसकी हाज़री गलत लगी थी</t>
  </si>
  <si>
    <t xml:space="preserve">Gave Ram 500 today, and his attendance yesterday was marked wrong</t>
  </si>
  <si>
    <t xml:space="preserve">employee_transaction(name=Ram, amount=500)</t>
  </si>
  <si>
    <t xml:space="preserve">correction (name=Ram, date=2026-10-07); confirmed: record_employee_transaction</t>
  </si>
  <si>
    <t xml:space="preserve">COR-C-02</t>
  </si>
  <si>
    <t xml:space="preserve">Sharma ji ne 3000 aur bheje, parso wali unki entry mein galti hai</t>
  </si>
  <si>
    <t xml:space="preserve">शर्मा जी ने 3000 और भेजे, परसों वाली उनकी एंट्री में गलती है</t>
  </si>
  <si>
    <t xml:space="preserve">Sharma ji sent 3000 more, there's a mistake in his entry from day before yesterday</t>
  </si>
  <si>
    <t xml:space="preserve">sale_payment(name=Sharma ji, amount=3000)</t>
  </si>
  <si>
    <t xml:space="preserve">correction (name=Sharma ji, date=2026-10-06); confirmed: record_sale_payment</t>
  </si>
  <si>
    <t xml:space="preserve">COR-C-03</t>
  </si>
  <si>
    <t xml:space="preserve">Aaj chai ke 120 lage, kal wala kiraya galat likha gaya tha</t>
  </si>
  <si>
    <t xml:space="preserve">आज चाय के 120 लगे, कल वाला किराया गलत लिखा गया था</t>
  </si>
  <si>
    <t xml:space="preserve">Spent 120 on tea today, yesterday's rent was written wrong</t>
  </si>
  <si>
    <t xml:space="preserve">expense(amount=120)</t>
  </si>
  <si>
    <t xml:space="preserve">correction (name=None, date=2026-10-07); confirmed: record_work_log</t>
  </si>
  <si>
    <t xml:space="preserve">nayi entry nahi pahunchi: {'tool': 'record_expense', 'name': None, 'amount': 120}; galat nayi entry tayyar: ['record_work_log']</t>
  </si>
  <si>
    <t xml:space="preserve">correction (name=None, date=2026-10-07); confirmed: record_expense, record_expense_payment</t>
  </si>
  <si>
    <t xml:space="preserve">COR-C-04</t>
  </si>
  <si>
    <t xml:space="preserve">Kitanu ne aaj 700 ka kaam kiya, 4 tareekh wali uski entry cancel karo</t>
  </si>
  <si>
    <t xml:space="preserve">कितनू ने आज 700 का काम किया, 4 तारीख वाली उसकी एंट्री कैंसल करो</t>
  </si>
  <si>
    <t xml:space="preserve">Kitanu did 700 worth of work today, cancel his entry from the 4th</t>
  </si>
  <si>
    <t xml:space="preserve">10-04</t>
  </si>
  <si>
    <t xml:space="preserve">employee_transaction(name=Kitanu, amount=700)</t>
  </si>
  <si>
    <t xml:space="preserve">correction (name=Kitanu, date=2026-10-04); confirmed: record_employee_transaction</t>
  </si>
  <si>
    <t xml:space="preserve">COR-C-05</t>
  </si>
  <si>
    <t xml:space="preserve">Suresh Traders se 2000 eent aayi, pichle hafte ka unka bill galti se dobara chadh gaya tha</t>
  </si>
  <si>
    <t xml:space="preserve">सुरेश ट्रेडर्स से 2000 ईंट आई, पिछले हफ्ते का उनका बिल गलती से दोबारा चढ़ गया था</t>
  </si>
  <si>
    <t xml:space="preserve">2000 bricks came from Suresh Traders, their bill from last week got entered twice by mistake</t>
  </si>
  <si>
    <t xml:space="preserve">supplier_transaction(name=Suresh Traders, quantity=2000)</t>
  </si>
  <si>
    <t xml:space="preserve">'pichle hafte' range hai, pakki tareekh nahi</t>
  </si>
  <si>
    <t xml:space="preserve">COR-D-01</t>
  </si>
  <si>
    <t xml:space="preserve">Sohan ki pichhle mahine ki 1800 dihadi abhi deni hai</t>
  </si>
  <si>
    <t xml:space="preserve">सोहन की पिछले महीने की 1800 दिहाड़ी अभी देनी है</t>
  </si>
  <si>
    <t xml:space="preserve">Sohan's 1800 wages from last month are still to be paid</t>
  </si>
  <si>
    <t xml:space="preserve">entry (not a correction)</t>
  </si>
  <si>
    <t xml:space="preserve">opening_balance(name=Sohan, amount=1800)</t>
  </si>
  <si>
    <t xml:space="preserve">entry nahi bani: {'tool': 'record_opening_balance', 'name': 'Sohan', 'amount': 1800}</t>
  </si>
  <si>
    <t xml:space="preserve">saved: record_opening_balance</t>
  </si>
  <si>
    <t xml:space="preserve">COR-D-02</t>
  </si>
  <si>
    <t xml:space="preserve">Aaj phir Sharma ji 2000 jama karwa gaye</t>
  </si>
  <si>
    <t xml:space="preserve">आज फिर शर्मा जी 2000 जमा करवा गए</t>
  </si>
  <si>
    <t xml:space="preserve">Sharma ji again deposited 2000 today</t>
  </si>
  <si>
    <t xml:space="preserve">sale_payment(name=Sharma ji, amount=2000)</t>
  </si>
  <si>
    <t xml:space="preserve">saved: record_sale_payment</t>
  </si>
  <si>
    <t xml:space="preserve">COR-D-03</t>
  </si>
  <si>
    <t xml:space="preserve">Kitanu kal ka bacha hua plaster aaj nipta gaya, 400 banta hai</t>
  </si>
  <si>
    <t xml:space="preserve">कितनू कल का बचा हुआ प्लास्टर आज निपटा गया, 400 बनता है</t>
  </si>
  <si>
    <t xml:space="preserve">Kitanu finished yesterday's leftover plaster today, 400 is due</t>
  </si>
  <si>
    <t xml:space="preserve">employee_transaction(name=Kitanu, amount=400)</t>
  </si>
  <si>
    <t xml:space="preserve">COR-D-04</t>
  </si>
  <si>
    <t xml:space="preserve">Purane hisab ke 15000 abhi Suresh Traders ko chukane hain</t>
  </si>
  <si>
    <t xml:space="preserve">पुराने हिसाब के 15000 अभी सुरेश ट्रेडर्स को चुकाने हैं</t>
  </si>
  <si>
    <t xml:space="preserve">15000 from the old account still has to be paid to Suresh Traders</t>
  </si>
  <si>
    <t xml:space="preserve">opening_balance(name=Suresh Traders, amount=15000)</t>
  </si>
  <si>
    <t xml:space="preserve">saved: record_supplier_payment</t>
  </si>
  <si>
    <t xml:space="preserve">entry nahi bani: {'tool': 'record_opening_balance', 'name': 'Suresh Traders', 'amount': 15000}</t>
  </si>
  <si>
    <t xml:space="preserve">COR-D-05</t>
  </si>
  <si>
    <t xml:space="preserve">Ram ko aaj 600 pakdaye, 500 nahi</t>
  </si>
  <si>
    <t xml:space="preserve">राम को आज 600 पकड़ाए, 500 नहीं</t>
  </si>
  <si>
    <t xml:space="preserve">Handed Ram 600 today, not 500</t>
  </si>
  <si>
    <t xml:space="preserve">employee_transaction(name=Ram, amount=600)</t>
  </si>
  <si>
    <t xml:space="preserve">COR-D-06</t>
  </si>
  <si>
    <t xml:space="preserve">Pichle hafte eent laane wale tempo ka 1500 kiraya aaj chukaya</t>
  </si>
  <si>
    <t xml:space="preserve">पिछले हफ्ते ईंट लाने वाले टेम्पो का 1500 किराया आज चुकाया</t>
  </si>
  <si>
    <t xml:space="preserve">Paid today the 1500 fare of the tempo that brought bricks last week</t>
  </si>
  <si>
    <t xml:space="preserve">expense(amount=1500)</t>
  </si>
  <si>
    <t xml:space="preserve">saved: record_expense, record_expense_payment</t>
  </si>
  <si>
    <t xml:space="preserve">COR-D-07</t>
  </si>
  <si>
    <t xml:space="preserve">Sohan aaj bilkul sahi waqt pe pahuncha aur shaam tak laga raha</t>
  </si>
  <si>
    <t xml:space="preserve">सोहन आज बिल्कुल सही वक्त पे पहुँचा और शाम तक लगा रहा</t>
  </si>
  <si>
    <t xml:space="preserve">Sohan arrived right on time today and stayed till evening</t>
  </si>
  <si>
    <t xml:space="preserve">attendance(name=Sohan)</t>
  </si>
  <si>
    <t xml:space="preserve">saved: record_attendance, record_attendance</t>
  </si>
  <si>
    <t xml:space="preserve">Router bundle — does each message go to general chat, accounting or report?</t>
  </si>
  <si>
    <t xml:space="preserve">Route-only mode: only the router (LLM + attendance and money safety nets) is run. One test (C-06, 'Papa galle se kuch paise le gaye the') was sent to chat by the LLM and moved to accounting by the money safety net. Single full run, no fixes.</t>
  </si>
  <si>
    <t xml:space="preserve">Expected route</t>
  </si>
  <si>
    <t xml:space="preserve">Before — Actual (—)</t>
  </si>
  <si>
    <t xml:space="preserve">After — Actual (full run 12:27)</t>
  </si>
  <si>
    <t xml:space="preserve">RTR-A-01</t>
  </si>
  <si>
    <t xml:space="preserve">Good morning bhai, chai pi li?</t>
  </si>
  <si>
    <t xml:space="preserve">गुड मॉर्निंग भाई, चाय पी ली?</t>
  </si>
  <si>
    <t xml:space="preserve">Good morning brother, had your tea?</t>
  </si>
  <si>
    <t xml:space="preserve">1227</t>
  </si>
  <si>
    <t xml:space="preserve">RTR-A-02</t>
  </si>
  <si>
    <t xml:space="preserve">Diwali kab hai is saal?</t>
  </si>
  <si>
    <t xml:space="preserve">दिवाली कब है इस साल?</t>
  </si>
  <si>
    <t xml:space="preserve">When is Diwali this year?</t>
  </si>
  <si>
    <t xml:space="preserve">RTR-A-03</t>
  </si>
  <si>
    <t xml:space="preserve">Mujhe ek achhi si shayari sunao</t>
  </si>
  <si>
    <t xml:space="preserve">मुझे एक अच्छी सी शायरी सुनाओ</t>
  </si>
  <si>
    <t xml:space="preserve">Tell me a nice couplet</t>
  </si>
  <si>
    <t xml:space="preserve">RTR-A-04</t>
  </si>
  <si>
    <t xml:space="preserve">Haryana ka CM kaun hai abhi</t>
  </si>
  <si>
    <t xml:space="preserve">हरियाणा का सीएम कौन है अभी</t>
  </si>
  <si>
    <t xml:space="preserve">Who is the Haryana CM right now</t>
  </si>
  <si>
    <t xml:space="preserve">RTR-A-05</t>
  </si>
  <si>
    <t xml:space="preserve">Tum Hindi samajh lete ho kya</t>
  </si>
  <si>
    <t xml:space="preserve">तुम हिंदी समझ लेते हो क्या</t>
  </si>
  <si>
    <t xml:space="preserve">Do you understand Hindi</t>
  </si>
  <si>
    <t xml:space="preserve">RTR-A-06</t>
  </si>
  <si>
    <t xml:space="preserve">Theek hai, shukriya</t>
  </si>
  <si>
    <t xml:space="preserve">ठीक है, शुक्रिया</t>
  </si>
  <si>
    <t xml:space="preserve">Okay, thanks</t>
  </si>
  <si>
    <t xml:space="preserve">RTR-B-01</t>
  </si>
  <si>
    <t xml:space="preserve">Ram ki beti ki shaadi kab hai?</t>
  </si>
  <si>
    <t xml:space="preserve">राम की बेटी की शादी कब है?</t>
  </si>
  <si>
    <t xml:space="preserve">When is Ram's daughter's wedding?</t>
  </si>
  <si>
    <t xml:space="preserve">employee name, personal question</t>
  </si>
  <si>
    <t xml:space="preserve">RTR-B-02</t>
  </si>
  <si>
    <t xml:space="preserve">GST kya hota hai, eent pe kitna lagta hai?</t>
  </si>
  <si>
    <t xml:space="preserve">जीएसटी क्या होता है, ईंट पे कितना लगता है?</t>
  </si>
  <si>
    <t xml:space="preserve">What is GST, how much applies on bricks?</t>
  </si>
  <si>
    <t xml:space="preserve">'eent', 'kitna' — general knowledge</t>
  </si>
  <si>
    <t xml:space="preserve">RTR-B-03</t>
  </si>
  <si>
    <t xml:space="preserve">Sohan ki tabiyat ab kaisi hai, kal bukhar tha</t>
  </si>
  <si>
    <t xml:space="preserve">सोहन की तबीयत अब कैसी है, कल बुखार था</t>
  </si>
  <si>
    <t xml:space="preserve">How is Sohan's health now, he had fever yesterday</t>
  </si>
  <si>
    <t xml:space="preserve">name + 'kal'</t>
  </si>
  <si>
    <t xml:space="preserve">RTR-B-04</t>
  </si>
  <si>
    <t xml:space="preserve">Sharma ji ka beta bada hoshiyar nikla, doctor ban gaya</t>
  </si>
  <si>
    <t xml:space="preserve">शर्मा जी का बेटा बड़ा होशियार निकला, डॉक्टर बन गया</t>
  </si>
  <si>
    <t xml:space="preserve">Sharma ji's son turned out very smart, became a doctor</t>
  </si>
  <si>
    <t xml:space="preserve">customer name, small talk</t>
  </si>
  <si>
    <t xml:space="preserve">RTR-B-05</t>
  </si>
  <si>
    <t xml:space="preserve">Hisab kitab rakhne ka sabse aasaan tareeka kya hai?</t>
  </si>
  <si>
    <t xml:space="preserve">हिसाब किताब रखने का सबसे आसान तरीका क्या है?</t>
  </si>
  <si>
    <t xml:space="preserve">What is the easiest way to keep accounts?</t>
  </si>
  <si>
    <t xml:space="preserve">'hisab' — advice, not a report</t>
  </si>
  <si>
    <t xml:space="preserve">RTR-B-06</t>
  </si>
  <si>
    <t xml:space="preserve">Kitanu kahan gaya, phone nahi utha raha</t>
  </si>
  <si>
    <t xml:space="preserve">कितनू कहाँ गया, फ़ोन नहीं उठा रहा</t>
  </si>
  <si>
    <t xml:space="preserve">Where did Kitanu go, he isn't picking up the phone</t>
  </si>
  <si>
    <t xml:space="preserve">'gaya' — question, not attendance</t>
  </si>
  <si>
    <t xml:space="preserve">RTR-C-01</t>
  </si>
  <si>
    <t xml:space="preserve">Arre yaar Sohan aaj phir late aaya</t>
  </si>
  <si>
    <t xml:space="preserve">अरे यार सोहन आज फिर लेट आया</t>
  </si>
  <si>
    <t xml:space="preserve">Oh man, Sohan came late again today</t>
  </si>
  <si>
    <t xml:space="preserve">attendance</t>
  </si>
  <si>
    <t xml:space="preserve">RTR-C-02</t>
  </si>
  <si>
    <t xml:space="preserve">Ram ki tabiyat kharab thi to wo aaj nahi aaya</t>
  </si>
  <si>
    <t xml:space="preserve">राम की तबीयत खराब थी तो वो आज नहीं आया</t>
  </si>
  <si>
    <t xml:space="preserve">Ram was unwell so he didn't come today</t>
  </si>
  <si>
    <t xml:space="preserve">attendance + reason</t>
  </si>
  <si>
    <t xml:space="preserve">RTR-C-03</t>
  </si>
  <si>
    <t xml:space="preserve">Ram Ram ji, Sharma ji 2000 de gaye subah</t>
  </si>
  <si>
    <t xml:space="preserve">राम राम जी, शर्मा जी 2000 दे गए सुबह</t>
  </si>
  <si>
    <t xml:space="preserve">Ram Ram, Sharma ji paid 2000 in the morning</t>
  </si>
  <si>
    <t xml:space="preserve">greeting + payment</t>
  </si>
  <si>
    <t xml:space="preserve">RTR-C-04</t>
  </si>
  <si>
    <t xml:space="preserve">Suresh Traders ka naya number 9812345678 hai</t>
  </si>
  <si>
    <t xml:space="preserve">सुरेश ट्रेडर्स का नया नंबर 9812345678 है</t>
  </si>
  <si>
    <t xml:space="preserve">Suresh Traders' new number is 9812345678</t>
  </si>
  <si>
    <t xml:space="preserve">profile</t>
  </si>
  <si>
    <t xml:space="preserve">RTR-C-05</t>
  </si>
  <si>
    <t xml:space="preserve">Chalo aaj gudam ki safai ho gayi, 300 lage</t>
  </si>
  <si>
    <t xml:space="preserve">चलो आज गोदाम की सफाई हो गई, 300 लगे</t>
  </si>
  <si>
    <t xml:space="preserve">Okay, the warehouse got cleaned today, cost 300</t>
  </si>
  <si>
    <t xml:space="preserve">RTR-C-06</t>
  </si>
  <si>
    <t xml:space="preserve">Papa galle se kuch paise le gaye the shaam ko</t>
  </si>
  <si>
    <t xml:space="preserve">पापा गल्ले से कुछ पैसे ले गए थे शाम को</t>
  </si>
  <si>
    <t xml:space="preserve">Papa took some money from the till in the evening</t>
  </si>
  <si>
    <t xml:space="preserve">family, no amount</t>
  </si>
  <si>
    <t xml:space="preserve">RTR-C-07</t>
  </si>
  <si>
    <t xml:space="preserve">Kal wali Kitanu ki entry thodi gadbad lag rahi hai</t>
  </si>
  <si>
    <t xml:space="preserve">कल वाली कितनू की एंट्री थोड़ी गड़बड़ लग रही है</t>
  </si>
  <si>
    <t xml:space="preserve">Kitanu's entry from yesterday looks a bit off</t>
  </si>
  <si>
    <t xml:space="preserve">soft correction</t>
  </si>
  <si>
    <t xml:space="preserve">RTR-C-08</t>
  </si>
  <si>
    <t xml:space="preserve">Bas aaj SBI wale 3000 eent utaar gaye</t>
  </si>
  <si>
    <t xml:space="preserve">बस आज एसबीआई वाले 3000 ईंट उतार गए</t>
  </si>
  <si>
    <t xml:space="preserve">Just today the SBI people unloaded 3000 bricks</t>
  </si>
  <si>
    <t xml:space="preserve">supplier goods</t>
  </si>
  <si>
    <t xml:space="preserve">RTR-C-09</t>
  </si>
  <si>
    <t xml:space="preserve">Accha suno, ek nayi trolley le li 2 lakh ki</t>
  </si>
  <si>
    <t xml:space="preserve">अच्छा सुनो, एक नई ट्रॉली ले ली 2 लाख की</t>
  </si>
  <si>
    <t xml:space="preserve">Listen, bought a new trolley for 2 lakh</t>
  </si>
  <si>
    <t xml:space="preserve">RTR-D-01</t>
  </si>
  <si>
    <t xml:space="preserve">Abhi tak Sharma ji ne humein kitna chukana hai?</t>
  </si>
  <si>
    <t xml:space="preserve">अभी तक शर्मा जी ने हमें कितना चुकाना है?</t>
  </si>
  <si>
    <t xml:space="preserve">How much does Sharma ji still have to pay us?</t>
  </si>
  <si>
    <t xml:space="preserve">balance question</t>
  </si>
  <si>
    <t xml:space="preserve">RTR-D-02</t>
  </si>
  <si>
    <t xml:space="preserve">Sharma ji pe 3000 baaki reh gaye hain pichle</t>
  </si>
  <si>
    <t xml:space="preserve">शर्मा जी पे 3000 बाकी रह गए हैं पिछले</t>
  </si>
  <si>
    <t xml:space="preserve">3000 from before is still due from Sharma ji</t>
  </si>
  <si>
    <t xml:space="preserve">balance statement</t>
  </si>
  <si>
    <t xml:space="preserve">RTR-D-03</t>
  </si>
  <si>
    <t xml:space="preserve">Is hafte kitna diesel gaya, dikha do</t>
  </si>
  <si>
    <t xml:space="preserve">इस हफ्ते कितना डीज़ल गया, दिखा दो</t>
  </si>
  <si>
    <t xml:space="preserve">Show how much diesel went this week</t>
  </si>
  <si>
    <t xml:space="preserve">RTR-D-04</t>
  </si>
  <si>
    <t xml:space="preserve">Kitanu ka hisab bhej do Papa ko</t>
  </si>
  <si>
    <t xml:space="preserve">कितनू का हिसाब भेज दो पापा को</t>
  </si>
  <si>
    <t xml:space="preserve">Send Kitanu's account to Papa</t>
  </si>
  <si>
    <t xml:space="preserve">'Papa ko' — not family money</t>
  </si>
  <si>
    <t xml:space="preserve">RTR-D-05</t>
  </si>
  <si>
    <t xml:space="preserve">Kitanu ka hisab kar diya, 1500 diye</t>
  </si>
  <si>
    <t xml:space="preserve">कितनू का हिसाब कर दिया, 1500 दिए</t>
  </si>
  <si>
    <t xml:space="preserve">Settled Kitanu's account, paid 1500</t>
  </si>
  <si>
    <t xml:space="preserve">'hisab' but a payment</t>
  </si>
  <si>
    <t xml:space="preserve">RTR-D-06</t>
  </si>
  <si>
    <t xml:space="preserve">Galle mein abhi kitna cash pada hai?</t>
  </si>
  <si>
    <t xml:space="preserve">गल्ले में अभी कितना कैश पड़ा है?</t>
  </si>
  <si>
    <t xml:space="preserve">How much cash is in the till right now?</t>
  </si>
  <si>
    <t xml:space="preserve">RTR-D-07</t>
  </si>
  <si>
    <t xml:space="preserve">Galle mein 25000 cash rakha hai shuru ka</t>
  </si>
  <si>
    <t xml:space="preserve">गल्ले में 25000 कैश रखा है शुरू का</t>
  </si>
  <si>
    <t xml:space="preserve">There is 25000 starting cash in the till</t>
  </si>
  <si>
    <t xml:space="preserve">opening cash</t>
  </si>
  <si>
    <t xml:space="preserve">RTR-D-08</t>
  </si>
  <si>
    <t xml:space="preserve">Suresh Traders ko kitna dena baaki hai, bata do</t>
  </si>
  <si>
    <t xml:space="preserve">सुरेश ट्रेडर्स को कितना देना बाकी है, बता दो</t>
  </si>
  <si>
    <t xml:space="preserve">Tell me how much is still to be paid to Suresh Traders</t>
  </si>
  <si>
    <t xml:space="preserve">RTR-D-09</t>
  </si>
  <si>
    <t xml:space="preserve">Ram ne kitne din kaam kiya is mahine?</t>
  </si>
  <si>
    <t xml:space="preserve">राम ने कितने दिन काम किया इस महीने?</t>
  </si>
  <si>
    <t xml:space="preserve">How many days did Ram work this month?</t>
  </si>
  <si>
    <t xml:space="preserve">work register question</t>
  </si>
  <si>
    <t xml:space="preserve">Employee bundle — F (Field extraction): every field checked separately</t>
  </si>
  <si>
    <t xml:space="preserve">Added and locked on 2026-10-05 BEFORE the note fix. Note is checked by key words (any language form), not exact text. Before the fix only F-03 and F-10 were run (cost); After = latest run per test.</t>
  </si>
  <si>
    <t xml:space="preserve">Tool</t>
  </si>
  <si>
    <t xml:space="preserve">Field</t>
  </si>
  <si>
    <t xml:space="preserve">Expected</t>
  </si>
  <si>
    <t xml:space="preserve">After — Actual</t>
  </si>
  <si>
    <t xml:space="preserve">After — OK</t>
  </si>
  <si>
    <t xml:space="preserve">Before — Actual</t>
  </si>
  <si>
    <t xml:space="preserve">Before — OK</t>
  </si>
  <si>
    <t xml:space="preserve">EMP-F-01</t>
  </si>
  <si>
    <t xml:space="preserve">Kitanu ko PhonePe se 1200 bheje, uski bahan ki shaadi ke liye</t>
  </si>
  <si>
    <t xml:space="preserve">employee_transaction</t>
  </si>
  <si>
    <t xml:space="preserve">employee_name</t>
  </si>
  <si>
    <t xml:space="preserve">Y</t>
  </si>
  <si>
    <t xml:space="preserve">1711</t>
  </si>
  <si>
    <t xml:space="preserve">transaction_type</t>
  </si>
  <si>
    <t xml:space="preserve">payment</t>
  </si>
  <si>
    <t xml:space="preserve">amount</t>
  </si>
  <si>
    <t xml:space="preserve">1200</t>
  </si>
  <si>
    <t xml:space="preserve">1200.0</t>
  </si>
  <si>
    <t xml:space="preserve">date</t>
  </si>
  <si>
    <t xml:space="preserve">2026-10-05</t>
  </si>
  <si>
    <t xml:space="preserve">payment_method</t>
  </si>
  <si>
    <t xml:space="preserve">upi</t>
  </si>
  <si>
    <t xml:space="preserve">'upi'</t>
  </si>
  <si>
    <t xml:space="preserve">payment_provider</t>
  </si>
  <si>
    <t xml:space="preserve">phonepe</t>
  </si>
  <si>
    <t xml:space="preserve">'phonepe'</t>
  </si>
  <si>
    <t xml:space="preserve">note_has</t>
  </si>
  <si>
    <t xml:space="preserve">contains one of: shaadi, shadi, शादी, wedding</t>
  </si>
  <si>
    <t xml:space="preserve">''</t>
  </si>
  <si>
    <t xml:space="preserve">N</t>
  </si>
  <si>
    <t xml:space="preserve">EMP-F-02</t>
  </si>
  <si>
    <t xml:space="preserve">Ram ko 800 nakad diye</t>
  </si>
  <si>
    <t xml:space="preserve">1657</t>
  </si>
  <si>
    <t xml:space="preserve">800</t>
  </si>
  <si>
    <t xml:space="preserve">800.0</t>
  </si>
  <si>
    <t xml:space="preserve">cash</t>
  </si>
  <si>
    <t xml:space="preserve">'cash'</t>
  </si>
  <si>
    <t xml:space="preserve">note_empty</t>
  </si>
  <si>
    <t xml:space="preserve">(empty)</t>
  </si>
  <si>
    <t xml:space="preserve">EMP-F-03</t>
  </si>
  <si>
    <t xml:space="preserve">Sohan ne kal gudam mein 40 boriyan cement utaari, 600 ka kaam</t>
  </si>
  <si>
    <t xml:space="preserve">work</t>
  </si>
  <si>
    <t xml:space="preserve">600</t>
  </si>
  <si>
    <t xml:space="preserve">600.0</t>
  </si>
  <si>
    <t xml:space="preserve">2026-10-04</t>
  </si>
  <si>
    <t xml:space="preserve">contains one of: cement, सीमेंट, bori, बोरि</t>
  </si>
  <si>
    <t xml:space="preserve">'gudam mein 40 boriyan cement utaari'</t>
  </si>
  <si>
    <t xml:space="preserve">note_not</t>
  </si>
  <si>
    <t xml:space="preserve">not: 600</t>
  </si>
  <si>
    <t xml:space="preserve">EMP-F-04</t>
  </si>
  <si>
    <t xml:space="preserve">Kitanu parso nahi aaya tha, gaon mein shaadi thi</t>
  </si>
  <si>
    <t xml:space="preserve">absent</t>
  </si>
  <si>
    <t xml:space="preserve">2026-10-03</t>
  </si>
  <si>
    <t xml:space="preserve">'gaon mein shaadi thi'</t>
  </si>
  <si>
    <t xml:space="preserve">EMP-F-05</t>
  </si>
  <si>
    <t xml:space="preserve">Sohan ne aaj tractor se mitti ke 6 chakkar lagaye, poora din raha</t>
  </si>
  <si>
    <t xml:space="preserve">P</t>
  </si>
  <si>
    <t xml:space="preserve">driving</t>
  </si>
  <si>
    <t xml:space="preserve">contains one of: chakkar, चक्कर, round, trip</t>
  </si>
  <si>
    <t xml:space="preserve">'tractor se mitti ke 6 chakkar lagaye'</t>
  </si>
  <si>
    <t xml:space="preserve">EMP-F-06</t>
  </si>
  <si>
    <t xml:space="preserve">Ram ki aaj ki haaziri laga do</t>
  </si>
  <si>
    <t xml:space="preserve">EMP-F-07</t>
  </si>
  <si>
    <t xml:space="preserve">Kitanu ke SBI khaate mein 5000 daale, pichhle mahine ka baaki tha</t>
  </si>
  <si>
    <t xml:space="preserve">no entry ()</t>
  </si>
  <si>
    <t xml:space="preserve">5000</t>
  </si>
  <si>
    <t xml:space="preserve">bank_transfer</t>
  </si>
  <si>
    <t xml:space="preserve">sbi</t>
  </si>
  <si>
    <t xml:space="preserve">contains one of: pichhle, pichle, पिछले, baaki</t>
  </si>
  <si>
    <t xml:space="preserve">EMP-F-08</t>
  </si>
  <si>
    <t xml:space="preserve">Naya ladka rakha hai Deepak, number 9812345678, Hasi gate pe rehta hai, beldari karega</t>
  </si>
  <si>
    <t xml:space="preserve">manage_employee</t>
  </si>
  <si>
    <t xml:space="preserve">Deepak</t>
  </si>
  <si>
    <t xml:space="preserve">phone</t>
  </si>
  <si>
    <t xml:space="preserve">9812345678</t>
  </si>
  <si>
    <t xml:space="preserve">'9812345678'</t>
  </si>
  <si>
    <t xml:space="preserve">address</t>
  </si>
  <si>
    <t xml:space="preserve">contains: hasi, hansi, हांसी</t>
  </si>
  <si>
    <t xml:space="preserve">'Hasi gate'</t>
  </si>
  <si>
    <t xml:space="preserve">role</t>
  </si>
  <si>
    <t xml:space="preserve">contains: beld, बेलद, labour</t>
  </si>
  <si>
    <t xml:space="preserve">'beldari'</t>
  </si>
  <si>
    <t xml:space="preserve">None</t>
  </si>
  <si>
    <t xml:space="preserve">EMP-F-09</t>
  </si>
  <si>
    <t xml:space="preserve">Sohan ka phone number badal gaya, naya 9896012345 hai</t>
  </si>
  <si>
    <t xml:space="preserve">9896012345</t>
  </si>
  <si>
    <t xml:space="preserve">'9896012345'</t>
  </si>
  <si>
    <t xml:space="preserve">EMP-F-10</t>
  </si>
  <si>
    <t xml:space="preserve">Ram ko 1000 Google Pay kiye aur Kitanu ne aaj aadha din kaam kiya kyunki dopahar mein baarish aa gayi</t>
  </si>
  <si>
    <t xml:space="preserve">no entry (missing_argument)</t>
  </si>
  <si>
    <t xml:space="preserve">1000</t>
  </si>
  <si>
    <t xml:space="preserve">1000.0</t>
  </si>
  <si>
    <t xml:space="preserve">google_pay</t>
  </si>
  <si>
    <t xml:space="preserve">'google_pay'</t>
  </si>
  <si>
    <t xml:space="preserve">half</t>
  </si>
  <si>
    <t xml:space="preserve">contains one of: baarish, barish, बारिश, rain</t>
  </si>
  <si>
    <t xml:space="preserve">'dopahar mein baarish aa gayi'</t>
  </si>
  <si>
    <t xml:space="preserve">Changelog — what was fixed, where, and which tests it fixed</t>
  </si>
  <si>
    <t xml:space="preserve">Type: Code rule = deterministic check after the LLM · Prompt = LLM instruction/examples · Runner/Scorer = test harness only (not the product).</t>
  </si>
  <si>
    <t xml:space="preserve">#</t>
  </si>
  <si>
    <t xml:space="preserve">Phase</t>
  </si>
  <si>
    <t xml:space="preserve">Fix</t>
  </si>
  <si>
    <t xml:space="preserve">Type</t>
  </si>
  <si>
    <t xml:space="preserve">Component / file</t>
  </si>
  <si>
    <t xml:space="preserve">Tests fixed</t>
  </si>
  <si>
    <t xml:space="preserve">Attendance statements routed to chat → router rules, 3-language examples + safety net</t>
  </si>
  <si>
    <t xml:space="preserve">Prompt + Code rule</t>
  </si>
  <si>
    <t xml:space="preserve">router_schema.py, graph.py</t>
  </si>
  <si>
    <t xml:space="preserve">A-04, A-06, B-04, C-01 (route)</t>
  </si>
  <si>
    <t xml:space="preserve">Money given to a person = Need Person, never material; one person per group; title-only names</t>
  </si>
  <si>
    <t xml:space="preserve">grouping_node.py</t>
  </si>
  <si>
    <t xml:space="preserve">A-09, B-01, C-02, D-06</t>
  </si>
  <si>
    <t xml:space="preserve">'UNKNOWN' location = missing field; storage aliases; partial movement classification</t>
  </si>
  <si>
    <t xml:space="preserve">Code rule</t>
  </si>
  <si>
    <t xml:space="preserve">material_movement_node.py, item_mapper.py</t>
  </si>
  <si>
    <t xml:space="preserve">E-05, E-10, E-02</t>
  </si>
  <si>
    <t xml:space="preserve">Crash in argument extraction (material movement source_type as text)</t>
  </si>
  <si>
    <t xml:space="preserve">Code fix</t>
  </si>
  <si>
    <t xml:space="preserve">tool_argument_extraction_node.py</t>
  </si>
  <si>
    <t xml:space="preserve">E-09</t>
  </si>
  <si>
    <t xml:space="preserve">Family tool only with family words (guard)</t>
  </si>
  <si>
    <t xml:space="preserve">tool_decision_node.py</t>
  </si>
  <si>
    <t xml:space="preserve">A-09 (en), A-10, B-01</t>
  </si>
  <si>
    <t xml:space="preserve">Names: strip job titles, match DB spelling (stem match)</t>
  </si>
  <si>
    <t xml:space="preserve">helpers.py, person_role_hitl_node.py</t>
  </si>
  <si>
    <t xml:space="preserve">D-01, D-05, D-09, E-02</t>
  </si>
  <si>
    <t xml:space="preserve">Dates: calendar table, weekday → last such day, purpose ≠ date ('agle hafte ki mazdoori')</t>
  </si>
  <si>
    <t xml:space="preserve">date_helpers.py, date_resolution_node.py</t>
  </si>
  <si>
    <t xml:space="preserve">B-03, B-04, B-07, A-09</t>
  </si>
  <si>
    <t xml:space="preserve">Tool decision: not-happened / future → no entry; money without tool → retry; supplier vs expense</t>
  </si>
  <si>
    <t xml:space="preserve">E-07, D-06, negation tests</t>
  </si>
  <si>
    <t xml:space="preserve">Attendance rules: presence-only, half day / shift, driving words, overtime = work</t>
  </si>
  <si>
    <t xml:space="preserve">attendance_rules.py</t>
  </si>
  <si>
    <t xml:space="preserve">A-02, A-08, B-05, B-06, D-04, D-10</t>
  </si>
  <si>
    <t xml:space="preserve">Multi-person split without copying amounts; duplicate-amount retry; duplicate decisions merged</t>
  </si>
  <si>
    <t xml:space="preserve">extract_node.py, tool_decision_node.py</t>
  </si>
  <si>
    <t xml:space="preserve">E-06, A-09 (hi)</t>
  </si>
  <si>
    <t xml:space="preserve">Cost</t>
  </si>
  <si>
    <t xml:space="preserve">Argument-extraction prompt sliced by bundle (~14k → ~3k tokens); ablation 49/50 identical</t>
  </si>
  <si>
    <t xml:space="preserve">Prompt structure</t>
  </si>
  <si>
    <t xml:space="preserve">Speed 15.1 → 11.8 s/test, ~79% fewer tokens</t>
  </si>
  <si>
    <t xml:space="preserve">F</t>
  </si>
  <si>
    <t xml:space="preserve">F category (field extraction) added and locked before the note fix</t>
  </si>
  <si>
    <t xml:space="preserve">Test set</t>
  </si>
  <si>
    <t xml:space="preserve">test/testcases/emp_testcases.py</t>
  </si>
  <si>
    <t xml:space="preserve">Note: global note rules + 3-language examples; code note cleaner (junk / dates)</t>
  </si>
  <si>
    <t xml:space="preserve">tool_argument_extraction_node.py, note_rules.py</t>
  </si>
  <si>
    <t xml:space="preserve">F-02, F-04, F-06, E-08</t>
  </si>
  <si>
    <t xml:space="preserve">Counts/phone numbers are not money; profile tool kept for future wording; correction needs a correction word; purpose fragment merged</t>
  </si>
  <si>
    <t xml:space="preserve">attendance_rules.py, tool_decision_node.py, grouping_node.py, extract_node.py</t>
  </si>
  <si>
    <t xml:space="preserve">F-05, F-08, F-09, F-10</t>
  </si>
  <si>
    <t xml:space="preserve">Runner answers 'what is this location?' from test roles (unscripted names still stop)</t>
  </si>
  <si>
    <t xml:space="preserve">Runner</t>
  </si>
  <si>
    <t xml:space="preserve">test/HK_Testing.py</t>
  </si>
  <si>
    <t xml:space="preserve">unblocked 11 tests</t>
  </si>
  <si>
    <t xml:space="preserve">Partial / misspelt / possessive names matched to known party; junk location names replaced</t>
  </si>
  <si>
    <t xml:space="preserve">material_movement_node.py, grouping_node.py</t>
  </si>
  <si>
    <t xml:space="preserve">B-04, B-09, C-10, A-10, E-03</t>
  </si>
  <si>
    <t xml:space="preserve">Graph crash with two material movements in one statement (single_group reducer)</t>
  </si>
  <si>
    <t xml:space="preserve">state.py</t>
  </si>
  <si>
    <t xml:space="preserve">E-04</t>
  </si>
  <si>
    <t xml:space="preserve">'dono ko 300-300' split per person; one tool per action; payment fallback</t>
  </si>
  <si>
    <t xml:space="preserve">extract_node.py, tool_decision_node.py, tool_argument_extraction_node.py</t>
  </si>
  <si>
    <t xml:space="preserve">E-06</t>
  </si>
  <si>
    <t xml:space="preserve">Driver of a delivery is a field of the sale, not a separate attendance</t>
  </si>
  <si>
    <t xml:space="preserve">E-01</t>
  </si>
  <si>
    <t xml:space="preserve">Expense (diesel, bill…) and money-only statements are never material movement</t>
  </si>
  <si>
    <t xml:space="preserve">E-05, E-07</t>
  </si>
  <si>
    <t xml:space="preserve">Number words → digits (dedh, saade, sava, paune, sau, hazaar, lakh, 5k; 3 languages; 34 unit tests)</t>
  </si>
  <si>
    <t xml:space="preserve">number_words.py</t>
  </si>
  <si>
    <t xml:space="preserve">B-02, B-08</t>
  </si>
  <si>
    <t xml:space="preserve">Rate × quantity = total; small number = rate; sale amount required (else ask)</t>
  </si>
  <si>
    <t xml:space="preserve">rate_rules.py, tool_argument_models.py</t>
  </si>
  <si>
    <t xml:space="preserve">A-04, C-10, C-01, C-02</t>
  </si>
  <si>
    <t xml:space="preserve">4A</t>
  </si>
  <si>
    <t xml:space="preserve">Sale + payment in one statement; 'poore paise' = sale amount; past advance ≠ new payment; service = sale; empty profile dropped</t>
  </si>
  <si>
    <t xml:space="preserve">sale_rules.py, extract_node.py, tool_decision_node.py</t>
  </si>
  <si>
    <t xml:space="preserve">A-06, D-02, D-07, D-08, D-10, A-10</t>
  </si>
  <si>
    <t xml:space="preserve">4B</t>
  </si>
  <si>
    <t xml:space="preserve">Customer 'le gaye' direction; past-sale reference = payment only (date today); returns negative; goods given = sale; 'X wale' names</t>
  </si>
  <si>
    <t xml:space="preserve">grouping_node.py, date_helpers.py, rate_rules.py, sale_rules.py, tool_argument_models.py</t>
  </si>
  <si>
    <t xml:space="preserve">B-02, B-07, C-03, D-09</t>
  </si>
  <si>
    <t xml:space="preserve">Both</t>
  </si>
  <si>
    <t xml:space="preserve">Scorer</t>
  </si>
  <si>
    <t xml:space="preserve">Scorer checks the person field that the test expects (direct sale has both supplier and customer)</t>
  </si>
  <si>
    <t xml:space="preserve">analysis scripts</t>
  </si>
  <si>
    <t xml:space="preserve">E-03 (customer)</t>
  </si>
  <si>
    <t xml:space="preserve">2026-10-06</t>
  </si>
  <si>
    <t xml:space="preserve">'Did goods move today?' — money-only statements are never material movement (prompt section + code net); supplier transaction without goods → supplier payment; no-tool fallback for supplier payment / bill</t>
  </si>
  <si>
    <t xml:space="preserve">grouping_node.py, tool_decision_node.py, sale_rules.py</t>
  </si>
  <si>
    <t xml:space="preserve">A-07, B-01, C-08, C-09, E-02, E-06, B-08</t>
  </si>
  <si>
    <t xml:space="preserve">Place vs person: 'purana bazar Sharma ji k' → destination = person, place saved as address (sale destination / supplier destination_location)</t>
  </si>
  <si>
    <t xml:space="preserve">material_movement_node.py, tool_argument_extraction_node.py</t>
  </si>
  <si>
    <t xml:space="preserve">A-01, A-04, A-05, B-10</t>
  </si>
  <si>
    <t xml:space="preserve">Extraction never invents a giver ('Y ne') — prompt RULE 3C + faithfulness check against the user's own words</t>
  </si>
  <si>
    <t xml:space="preserve">extract_node.py</t>
  </si>
  <si>
    <t xml:space="preserve">A-04, A-05, E-08</t>
  </si>
  <si>
    <t xml:space="preserve">'unko / bhatte ko' resolved to the ONE kiln/supplier named in the message (skipped if 2+ parties or a driver/person present); unresolved reference → no role question, 'samajh nahi aaya' message</t>
  </si>
  <si>
    <t xml:space="preserve">extract_node.py, grouping_node.py, accounting_subgraph.py, tool_decision_node.py</t>
  </si>
  <si>
    <t xml:space="preserve">A-04, A-05, A-10, E-09</t>
  </si>
  <si>
    <t xml:space="preserve">Descriptor before a name: 'UltraTech ke dealer Bansal' → Bansal, 'Ludhiana ki Gill mills' → Gill mills (descriptor kept in note); 'Mandi mein Sethi ji se' → source Sethi ji</t>
  </si>
  <si>
    <t xml:space="preserve">rate_rules.py, material_movement_node.py, tool_argument_extraction_node.py</t>
  </si>
  <si>
    <t xml:space="preserve">D-03, D-04, D-05, D-07, D-08, D-09, D-10</t>
  </si>
  <si>
    <t xml:space="preserve">Movement direction: 'X pe/par/mein … gaya' = destination; source from 'SBI bhatte ki eent'; Unresolved movement never creates a stock adjustment</t>
  </si>
  <si>
    <t xml:space="preserve">grouping_node.py, material_movement_node.py, tool_decision_node.py</t>
  </si>
  <si>
    <t xml:space="preserve">A-06, C-02, CUS-D-04</t>
  </si>
  <si>
    <t xml:space="preserve">Rates: '6500 ka hazaar' = per 1000; '9000 ka dumper' = per unit; ton vs kg kept consistent</t>
  </si>
  <si>
    <t xml:space="preserve">rate_rules.py, tool_argument_extraction_node.py</t>
  </si>
  <si>
    <t xml:space="preserve">B-02, D-06, D-10</t>
  </si>
  <si>
    <t xml:space="preserve">Driver's payment split from the goods action ('driver Kitanu ko 300 diye', 'Kitanu laya, usko 200 diye')</t>
  </si>
  <si>
    <t xml:space="preserve">E-01, E-10</t>
  </si>
  <si>
    <t xml:space="preserve">Payment without amount/name ('payment kar di', 'cash diya', 'aadha de diya') → party of the previous purchase/bill; amount = total or half; party bill ≠ shop expense</t>
  </si>
  <si>
    <t xml:space="preserve">extract_node.py, grouping_node.py, tool_argument_extraction_node.py</t>
  </si>
  <si>
    <t xml:space="preserve">B-04, B-08, D-02, D-04</t>
  </si>
  <si>
    <t xml:space="preserve">Date: statement with ONLY 'kal' (or only 'parso') → every action that day (not for 'kal se/tak', future verbs, 'kal ki mazdoori')</t>
  </si>
  <si>
    <t xml:space="preserve">date_helpers.py</t>
  </si>
  <si>
    <t xml:space="preserve">CUS-A-06, A-10</t>
  </si>
  <si>
    <t xml:space="preserve">Adjective as item ('nayi') → real goods word; destination from 'gudam mein aayi'; 'seedhi … ko di' → stock not reduced</t>
  </si>
  <si>
    <t xml:space="preserve">sale_rules.py, material_movement_node.py, tool_argument_extraction_node.py</t>
  </si>
  <si>
    <t xml:space="preserve">E-04, E-07</t>
  </si>
  <si>
    <t xml:space="preserve">Party's old balance ('Ganpati bhatte ke 8000 purane … humare upar') → party opening balance, direction from words (humare upar = dena)</t>
  </si>
  <si>
    <t xml:space="preserve">grouping_node.py, tool_argument_extraction_node.py</t>
  </si>
  <si>
    <t xml:space="preserve">C-07</t>
  </si>
  <si>
    <t xml:space="preserve">Return to supplier ('Balaji bhatte ko 200 eent wapas') → negative supplier entry (model allows minus only for returns)</t>
  </si>
  <si>
    <t xml:space="preserve">Code rule + model</t>
  </si>
  <si>
    <t xml:space="preserve">grouping_node.py, tool_decision_node.py, tool_argument_models.py, tool_argument_extraction_node.py</t>
  </si>
  <si>
    <t xml:space="preserve">C-03</t>
  </si>
  <si>
    <t xml:space="preserve">Paid expense → expense + expense_payment (cash goes down); bill not paid / 'baad mein' → expense only; old due paid → payment only; payment fragment ('PhonePe se bhar diya', '1400 cash diye') joined to its expense; 'aadha' = half</t>
  </si>
  <si>
    <t xml:space="preserve">expense_rules.py, tool_decision_node.py, extract_node.py, tool_argument_extraction_node.py, grouping_node.py</t>
  </si>
  <si>
    <t xml:space="preserve">A-01…A-10, B-02, B-03, B-05, C-09, D-*, E-*</t>
  </si>
  <si>
    <t xml:space="preserve">Things / shops / outside service people are not persons ('tractor', 'Medical store', 'Lucky mechanic', 'lineman'); freight context and 'safai ka saamaan' are expense, not goods; invented 'Y ne' removed from expense actions</t>
  </si>
  <si>
    <t xml:space="preserve">grouping_node.py, extract_node.py</t>
  </si>
  <si>
    <t xml:space="preserve">B-01, B-04, B-06, D-05, D-07, D-10, E-05, E-09</t>
  </si>
  <si>
    <t xml:space="preserve">Category from clear words (theek/servicing/tyre/AC gas → repair, diesel/CNG/cylinder → fuel, kiraya → rent); done action with a future date → today; 'ghar ka bill' → family</t>
  </si>
  <si>
    <t xml:space="preserve">expense_rules.py, tool_argument_extraction_node.py, date_helpers.py, tool_decision_node.py</t>
  </si>
  <si>
    <t xml:space="preserve">A-06, B-02, B-05, C-10, D-07, D-10, E-08</t>
  </si>
  <si>
    <t xml:space="preserve">Self-correction '2500 … nahi nahi 2800' → only the last amount (also fixes Employee C-06); 'likhwaye the … galat' → correction flow, not a new entry</t>
  </si>
  <si>
    <t xml:space="preserve">extract_node.py, grouping_node.py</t>
  </si>
  <si>
    <t xml:space="preserve">EXP C-04, C-06, EMP C-06</t>
  </si>
  <si>
    <t xml:space="preserve">Till words (galla/galle/dukaan) are never a person; relation words (Mummy, Bhai, Beti…) act as names; home items (ration, dawai, shagun…) are never persons; 'ghar ke liye' purchase is family kharcha, not stock; 'ghar ka nahi' = shop expense</t>
  </si>
  <si>
    <t xml:space="preserve">family_rules.py, grouping_node.py, tool_decision_node.py</t>
  </si>
  <si>
    <t xml:space="preserve">A-04, A-05, A-07, A-08, B-02, B-04, B-07, B-09, D-08</t>
  </si>
  <si>
    <t xml:space="preserve">2026-10-07</t>
  </si>
  <si>
    <t xml:space="preserve">Past background ('…liye the') is not a new entry and gives its amount to 'wahi/wo'; invented giver 'X ne' removed; 'Papa ne Kitanu ko…' → Kitanu's entry; 'N dene baaki' joins its goods; reason clause → purpose</t>
  </si>
  <si>
    <t xml:space="preserve">B-01, B-05, B-10, D-05, D-07, D-10, E-04, E-08</t>
  </si>
  <si>
    <t xml:space="preserve">Direction rule (le gaya / ko diye / aaya = kharcha; galle mein daale / ne wapas kiye = jama); money statements not sent to chat; range amount ('do-dhai hazaar') asks; plan ('dene hain') = no entry</t>
  </si>
  <si>
    <t xml:space="preserve">family_rules.py, tool_argument_extraction_node.py, graph.py, tool_decision_node.py</t>
  </si>
  <si>
    <t xml:space="preserve">A-09, A-10, B-05, B-08, C-01, C-04, C-07, D-03, E-09</t>
  </si>
  <si>
    <t xml:space="preserve">2026-10-08</t>
  </si>
  <si>
    <t xml:space="preserve">Broken / short / extra goods = stock adjustment (not movement or work log); unit default (bori → bag, ton, else piece); sign from words; item and place from the statement</t>
  </si>
  <si>
    <t xml:space="preserve">stock_rules.py, grouping_node.py, tool_decision_node.py, tool_argument_extraction_node.py</t>
  </si>
  <si>
    <t xml:space="preserve">A-04…A-06, A-10, B-03, B-04, B-10, C-04, C-06, E-01, E-03, E-06, E-07</t>
  </si>
  <si>
    <t xml:space="preserve">Places: 'gudam wali' = source; misspelt 'gudm' = Gudam; reversed '&lt;X&gt; ki site pe … gudam wali' fixed; source from the full statement; galla inside a place name</t>
  </si>
  <si>
    <t xml:space="preserve">material_movement_node.py, accounting_subgraph.py, grouping_node.py</t>
  </si>
  <si>
    <t xml:space="preserve">A-02, B-01, C-07, D-01, D-07, E-09</t>
  </si>
  <si>
    <t xml:space="preserve">Planned movement ('bhejni hai', 'aayega') = no entry; work without amount joins the payment; 'unme se N tooti' = adjustment of the same goods; parallel branches share the statement safely (state reducer)</t>
  </si>
  <si>
    <t xml:space="preserve">tool_decision_node.py, extract_node.py, grouping_node.py, state.py</t>
  </si>
  <si>
    <t xml:space="preserve">C-03, D-09, E-05, E-08</t>
  </si>
  <si>
    <t xml:space="preserve">Property deal: '&lt;Name ji/sahab&gt; ki haveli/kothi/godown/makaan…' with amount ≥ 10000 and no goods → the owner is a person (Property / Site Owner), not a standalone expense or material movement; property words make the place a site</t>
  </si>
  <si>
    <t xml:space="preserve">grouping_node.py, material_movement_node.py</t>
  </si>
  <si>
    <t xml:space="preserve">see Purchase sheet</t>
  </si>
  <si>
    <t xml:space="preserve">Owner's place from the full statement ('Malik sahab ki haveli se malba gudam'); owned places (Shop, Gudam) never taken as the owner's place; godown ≠ Gudam unless written so</t>
  </si>
  <si>
    <t xml:space="preserve">material_movement_node.py, accounting_subgraph.py</t>
  </si>
  <si>
    <t xml:space="preserve">'Liya tha … aadha diya' = half of the old deal; 'N cash, M cheque' → one payment per method; a purchase is never dated in the future; property owner with no tool → purchase payment (money given) or purchase (deal done); empty party name filled from the group's person</t>
  </si>
  <si>
    <t xml:space="preserve">Runner answers 'what is this place?' with Site / Storage / 'Property / Site Owner' from the test roles</t>
  </si>
  <si>
    <t xml:space="preserve">unblocked property tests</t>
  </si>
  <si>
    <t xml:space="preserve">Runner reads the report subgraph's state (it was reading only the parent state → every report looked empty)</t>
  </si>
  <si>
    <t xml:space="preserve">baseline 30% → valid 70%</t>
  </si>
  <si>
    <t xml:space="preserve">Filler words removed from the name ('Zara Sharma' → 'Sharma'); 'pichle N din / hafte / mahine' dates computed in code (the LLM was one day off)</t>
  </si>
  <si>
    <t xml:space="preserve">report_subgraph.py</t>
  </si>
  <si>
    <t xml:space="preserve">A-01, B-07, B-08</t>
  </si>
  <si>
    <t xml:space="preserve">A known DB name in the question (any word order, 'Bhatte wale SBI' = 'SBI Bhatta') or a name from the LLM, with no galla/cash word → person report in the DB spelling, even if the LLM said cash_flow</t>
  </si>
  <si>
    <t xml:space="preserve">A-03, C-03</t>
  </si>
  <si>
    <t xml:space="preserve">Amount with no name ('4000 de gaye') after an action that starts with a name → joined to that person ('Sharma ji ne 4000 de gaye')</t>
  </si>
  <si>
    <t xml:space="preserve">RPT D-01</t>
  </si>
  <si>
    <t xml:space="preserve">Runner reads correction_data from the nested correction subgraph; a new entry in a mixed statement is checked at final confirmation (it is saved only after the correction flow)</t>
  </si>
  <si>
    <t xml:space="preserve">Old-entry talk split off by extraction ('…diye the', 'aaya hi nahi tha', 'wo 600 the') or a bare order ('Entry hata do') is joined to the correction instead of becoming a new entry; name taken from it; another person's event is left alone</t>
  </si>
  <si>
    <t xml:space="preserve">A-01, A-04</t>
  </si>
  <si>
    <t xml:space="preserve">No-party expense word (chai, kiraya, diesel…) with only work_log chosen and no labour word → expense (+ payment if paid)</t>
  </si>
  <si>
    <t xml:space="preserve">COR C-03</t>
  </si>
  <si>
    <t xml:space="preserve">Old balance ('purane hisab ke … chukane hain', 'pichhle mahine ki … deni hai') with nothing happening now → opening balance; 'chukane hain' = plan, not a payment</t>
  </si>
  <si>
    <t xml:space="preserve">COR D-01, D-04 (CUS C-09 re-checked)</t>
  </si>
  <si>
    <t xml:space="preserve">Expense payment equal to an expense in the same statement is not an extra error (older Employee/Supplier test files were written before the expense + payment model)</t>
  </si>
  <si>
    <t xml:space="preserve">EMP E-04, SUP E-05</t>
  </si>
  <si>
    <t xml:space="preserve">Scorer: name typo ≥ 80% similar = same (name not in DB, system cannot know spelling); 'samajh nahi aaya' message on an ASK test = Safe ask; 2 ton = 2000 kg</t>
  </si>
  <si>
    <t xml:space="preserve">B-06, C-01, D-10</t>
  </si>
  <si>
    <t xml:space="preserve">Holdout R1</t>
  </si>
  <si>
    <t xml:space="preserve">H1</t>
  </si>
  <si>
    <t xml:space="preserve">Machine / vehicle / property purchase (≥ 10000, buy verb + asset word) is a purchase, never an expense; work machines never switch to family</t>
  </si>
  <si>
    <t xml:space="preserve">R1 PUR-04, 07, 10, 12</t>
  </si>
  <si>
    <t xml:space="preserve">H2</t>
  </si>
  <si>
    <t xml:space="preserve">Driver from 'X chhod ke aaya / laya' (one known employee in an 8-word window); invented 'X ko' removed; direction of a nameless amount ('X se … aaya' / 'X ko … di'); hired machine amount joins its action</t>
  </si>
  <si>
    <t xml:space="preserve">extract_node.py, tool_argument_extraction_node.py</t>
  </si>
  <si>
    <t xml:space="preserve">R1 CUS-06, 14, SUP-14</t>
  </si>
  <si>
    <t xml:space="preserve">H3</t>
  </si>
  <si>
    <t xml:space="preserve">New expense words (cylinder, JCB, crane, hydra, meter, rassi, puncture…); 'baad mein denge' bill = expense only; old due paid; rent words</t>
  </si>
  <si>
    <t xml:space="preserve">expense_rules.py, grouping_node.py, tool_decision_node.py</t>
  </si>
  <si>
    <t xml:space="preserve">R1 EXP-02…06, 11, 12, 14, FAM-12</t>
  </si>
  <si>
    <t xml:space="preserve">H4</t>
  </si>
  <si>
    <t xml:space="preserve">Statement with no date word at all → every action dated today (place names like 'Kalanaur' no longer read as 'kal')</t>
  </si>
  <si>
    <t xml:space="preserve">R1 EXP-01, STK-06, PUR-01</t>
  </si>
  <si>
    <t xml:space="preserve">H5</t>
  </si>
  <si>
    <t xml:space="preserve">'maange / bola tha' fragment that repeats a paid amount is dropped; kilo / bori / litre are not money; plan words (padenge, rakhne hain, agle mahine, uthwana hai…) = no entry</t>
  </si>
  <si>
    <t xml:space="preserve">R1 FAM-01, 04, 15, STK-15</t>
  </si>
  <si>
    <t xml:space="preserve">H6</t>
  </si>
  <si>
    <t xml:space="preserve">Profile statement (10-digit number or pata / address, no deal verb) stays one action; leading name = party; profile tool when no other tool</t>
  </si>
  <si>
    <t xml:space="preserve">extract_node.py, grouping_node.py, tool_decision_node.py</t>
  </si>
  <si>
    <t xml:space="preserve">R1 CUS-12, SUP-12</t>
  </si>
  <si>
    <t xml:space="preserve">H7</t>
  </si>
  <si>
    <t xml:space="preserve">Report: stem match for names ('SBI Bhatte' = 'SBI Bhatta'); 'Papa ne … galle se' = Papa's account; one-day word (kal) = that day only; 'pehle 600 bola tha' is not a correction</t>
  </si>
  <si>
    <t xml:space="preserve">report_subgraph.py, grouping_node.py</t>
  </si>
  <si>
    <t xml:space="preserve">R1 RPT-02, 04, 06, COR-08</t>
  </si>
  <si>
    <t xml:space="preserve">Regression</t>
  </si>
  <si>
    <t xml:space="preserve">Found by a 19-test regression run after H1–H7: 'usko 200 diye' goes to the driver named before, not the party; family member 'null' → relation / Ghar; labour count joins its work (one work log)</t>
  </si>
  <si>
    <t xml:space="preserve">extract_node.py, tool_argument_extraction_node.py, grouping_node.py</t>
  </si>
  <si>
    <t xml:space="preserve">SUP-E-10, EXP-C-10, STK-B-05 (19/19 after)</t>
  </si>
  <si>
    <t xml:space="preserve">Known issues and what is planned</t>
  </si>
  <si>
    <t xml:space="preserve">Test</t>
  </si>
  <si>
    <t xml:space="preserve">What happens</t>
  </si>
  <si>
    <t xml:space="preserve">Risk</t>
  </si>
  <si>
    <t xml:space="preserve">Plan</t>
  </si>
  <si>
    <t xml:space="preserve">C-01, C-03</t>
  </si>
  <si>
    <t xml:space="preserve">Unclear statement ('time pe aa gaya', '500 ka hisab hua') is recorded with a guess instead of asking</t>
  </si>
  <si>
    <t xml:space="preserve">v2: message 'statement adhuri hai' + logging of unclear statements from real use</t>
  </si>
  <si>
    <t xml:space="preserve">C-09</t>
  </si>
  <si>
    <t xml:space="preserve">Contradiction (absent but did work) recorded as both</t>
  </si>
  <si>
    <t xml:space="preserve">v2: consistency check before confirmation (study done)</t>
  </si>
  <si>
    <t xml:space="preserve">C-10</t>
  </si>
  <si>
    <t xml:space="preserve">Employee returning money opens the correction flow</t>
  </si>
  <si>
    <t xml:space="preserve">v2: block + message now; repayment entry type after asking the owner</t>
  </si>
  <si>
    <t xml:space="preserve">F-01, F-07</t>
  </si>
  <si>
    <t xml:space="preserve">Purpose sometimes dropped from note; '…pichhle mahine ka baaki tha' read as opening balance</t>
  </si>
  <si>
    <t xml:space="preserve">Field / Missed</t>
  </si>
  <si>
    <t xml:space="preserve">Code rules (designed, not built)</t>
  </si>
  <si>
    <t xml:space="preserve">Driver name sometimes goes to note instead of driver field (LLM variance)</t>
  </si>
  <si>
    <t xml:space="preserve">Silent wrong (minor)</t>
  </si>
  <si>
    <t xml:space="preserve">Code rule: '&lt;name&gt; gaadi lekar gaya' → driver_name</t>
  </si>
  <si>
    <t xml:space="preserve">B-10, E-07, A-01</t>
  </si>
  <si>
    <t xml:space="preserve">Passed in targeted runs, failed in the full run: destination 'Ravi Verma' not found; 'baaki gudam mein' read as stock adjustment; driver name missing in supplier entry (LLM variance)</t>
  </si>
  <si>
    <t xml:space="preserve">Silent wrong / Safe ask</t>
  </si>
  <si>
    <t xml:space="preserve">Watch in the next full run; code rules if they repeat</t>
  </si>
  <si>
    <t xml:space="preserve">C-08</t>
  </si>
  <si>
    <t xml:space="preserve">'Mistri ne generator dekh liya, paise baad mein denge' (no amount) → nothing recorded, no question</t>
  </si>
  <si>
    <t xml:space="preserve">v2: ask the amount (same family as Employee C-01/C-03)</t>
  </si>
  <si>
    <t xml:space="preserve">C-06</t>
  </si>
  <si>
    <t xml:space="preserve">'Kal petrol ke 300 likhwaye the, galat the, 350 the' → correction flow starts (runner stops there)</t>
  </si>
  <si>
    <t xml:space="preserve">OK by design; correction flow tested in its own bundle</t>
  </si>
  <si>
    <t xml:space="preserve">C-01</t>
  </si>
  <si>
    <t xml:space="preserve">'ye saman 600 ka aaya payment kr di' (no supplier) → 'samajh nahi aaya … kisko/kisse' message, no entry</t>
  </si>
  <si>
    <t xml:space="preserve">OK by design (message, not HITL); v2: ask 'kisse aaya?' directly</t>
  </si>
  <si>
    <t xml:space="preserve">Supplier fixes touched shared steps; Customer and Employee were re-checked on ~40 selected tests (all passed) but not re-run in full (cost)</t>
  </si>
  <si>
    <t xml:space="preserve">Hidden regression</t>
  </si>
  <si>
    <t xml:space="preserve">Full runs of all bundles together with the Hindi / English runs</t>
  </si>
  <si>
    <t xml:space="preserve">C-02</t>
  </si>
  <si>
    <t xml:space="preserve">Self-correction with a long repeated fragment ('Ghar ke kharche ke 2500 the') made a second entry in the full run (passed in earlier runs)</t>
  </si>
  <si>
    <t xml:space="preserve">Silent wrong (flaky)</t>
  </si>
  <si>
    <t xml:space="preserve">Code rule: drop a correction fragment that repeats the corrected action</t>
  </si>
  <si>
    <t xml:space="preserve">D-02</t>
  </si>
  <si>
    <t xml:space="preserve">'Ram ne Sharma ji ke ghar maal utara, usko 500 diye' — asked a sale amount instead of only the wage</t>
  </si>
  <si>
    <t xml:space="preserve">Fixed in the Stock phase (work joins payment); confirm in the next full run</t>
  </si>
  <si>
    <t xml:space="preserve">E-05</t>
  </si>
  <si>
    <t xml:space="preserve">Crashed in the full run (two parallel movement branches wrote the statement) — fixed the same hour, re-run passed</t>
  </si>
  <si>
    <t xml:space="preserve">Missed (crash)</t>
  </si>
  <si>
    <t xml:space="preserve">Fixed (state reducer); confirm in the next full run of all bundles</t>
  </si>
  <si>
    <t xml:space="preserve">C-07, E-06</t>
  </si>
  <si>
    <t xml:space="preserve">Full run 13:17: 'yadv ji ki haveli 4 lac me le li' / 'Pawan se dharamshala 3 lakh mein li' recorded as a 4 / 3 lakh SHOP EXPENSE (the property net needs a capitalised name + ji/sahab); passed in earlier targeted runs</t>
  </si>
  <si>
    <t xml:space="preserve">Fix designed (looser name rule + expense→purchase net for property words); not applied before the final test</t>
  </si>
  <si>
    <t xml:space="preserve">B-08</t>
  </si>
  <si>
    <t xml:space="preserve">'…50000 cash diye aur 1 lakh PhonePe kiye' split into nameless payments → both payments missed (purchase itself correct)</t>
  </si>
  <si>
    <t xml:space="preserve">Fix designed (nameless method payment joins the named seller); not applied</t>
  </si>
  <si>
    <t xml:space="preserve">E-03</t>
  </si>
  <si>
    <t xml:space="preserve">'…JCB ka 5000 kiraya bhi' stayed inside the purchase action → expense missed (purchase + bayana correct)</t>
  </si>
  <si>
    <t xml:space="preserve">Fix designed (split expense clause from a property action); not applied</t>
  </si>
  <si>
    <t xml:space="preserve">Employee and Customer full runs are from 5 Oct; many shared fixes came after them (re-checked only on selected tests)</t>
  </si>
  <si>
    <t xml:space="preserve">Full runs before real use</t>
  </si>
  <si>
    <t xml:space="preserve">LLM sent 'Papa galle se kuch paise le gaye the' to chat; the money safety net moved it to accounting (LLM alone 29/30)</t>
  </si>
  <si>
    <t xml:space="preserve">OK (code net); 30 tests only, 95% CI ~89–100%</t>
  </si>
  <si>
    <t xml:space="preserve">Only route / kind / name / dates are tested; the PDF and its totals (Python/SQL) are not; set is 20 statements (95% CI ~84–100%)</t>
  </si>
  <si>
    <t xml:space="preserve">Report numbers checked against a hand-made ledger before real use</t>
  </si>
  <si>
    <t xml:space="preserve">A-06</t>
  </si>
  <si>
    <t xml:space="preserve">'Papa ne kal galle se 2000 liye the wali entry hata do' — extraction sometimes drops 'the', the old-entry net does not fire, a family entry is prepared and the correction has no name / date</t>
  </si>
  <si>
    <t xml:space="preserve">Fix designed (check 'tha/the/thi' in the original statement; 'wali entry hata do' = bare order) — not applied by decision; v2</t>
  </si>
  <si>
    <t xml:space="preserve">The corrected value is not read ('800 diye the, wo 600 the') — the user must pick the entry and give a full new statement; category is always asked</t>
  </si>
  <si>
    <t xml:space="preserve">By design</t>
  </si>
  <si>
    <t xml:space="preserve">v2: pre-fill the new statement and guess the category from the words</t>
  </si>
  <si>
    <t xml:space="preserve">Since 2026-10-08 11:28 many tests take ~50–60 s instead of ~5–15 s (same code path: A-02 51.5 s vs A-03 6.7 s) — waiting on OpenAI; no request timeout is set</t>
  </si>
  <si>
    <t xml:space="preserve">Speed only (no cost)</t>
  </si>
  <si>
    <t xml:space="preserve">timeout=20 s + 3 retries in llm_setup.py and per-step timing in the log (designed, not applied)</t>
  </si>
  <si>
    <t xml:space="preserve">Name matching is done in Python (prefix / stem / 90% fuzzy)</t>
  </si>
  <si>
    <t xml:space="preserve">v2: PostgreSQL pg_trgm similarity search with an index</t>
  </si>
  <si>
    <t xml:space="preserve">Direct-sale price sometimes not extracted → system asks the amount</t>
  </si>
  <si>
    <t xml:space="preserve">Code rule: single remaining number = sale amount</t>
  </si>
  <si>
    <t xml:space="preserve">Hindi and English after-fix runs not done yet</t>
  </si>
  <si>
    <t xml:space="preserve">Run after all bundles are fixed</t>
  </si>
  <si>
    <t xml:space="preserve">Test statements were written by the developer; fixes were made while looking at this set</t>
  </si>
  <si>
    <t xml:space="preserve">Optimistic accuracy</t>
  </si>
  <si>
    <t xml:space="preserve">Done: two holdout rounds (see Holdout Summary). Real-use logging still planned.</t>
  </si>
  <si>
    <t xml:space="preserve">Stock item / location name normalisation, UI language display</t>
  </si>
  <si>
    <t xml:space="preserve">Before real use / UI phase</t>
  </si>
  <si>
    <t xml:space="preserve">Holdout R2</t>
  </si>
  <si>
    <t xml:space="preserve">PUR-11, 13, 14</t>
  </si>
  <si>
    <t xml:space="preserve">'Mange Ram ko makaan ke 50000 diye' → ₹50,000 recorded as wages of employee 'Ram' (name shortened by the LLM; short DB name also matches inside a longer name in 3 code nets)</t>
  </si>
  <si>
    <t xml:space="preserve">Roadmap: longest-name match + full name from the original statement</t>
  </si>
  <si>
    <t xml:space="preserve">EXP-11</t>
  </si>
  <si>
    <t xml:space="preserve">'JCB … 2700 diya Kalanaur site pe' → place 'Kalanaur' taken as an employee, ₹2700 wages</t>
  </si>
  <si>
    <t xml:space="preserve">Roadmap: place vs person principle (places never persons)</t>
  </si>
  <si>
    <t xml:space="preserve">CUS-07, 09, 13</t>
  </si>
  <si>
    <t xml:space="preserve">Sale without a sale verb ('Dalbir 300 eent le gaya', '20 balli di') → no entry, no question</t>
  </si>
  <si>
    <t xml:space="preserve">Roadmap: 'what moved — goods or money' principle in grouping</t>
  </si>
  <si>
    <t xml:space="preserve">EMP-03, EMP-07</t>
  </si>
  <si>
    <t xml:space="preserve">Amount split from its person ('…chhaante, 700 bante hain'; 'Naresh … 600 le gaya') → amount dropped (a code net discarded the name)</t>
  </si>
  <si>
    <t xml:space="preserve">Roadmap: nets never discard information; ask 'ye N kiske hain?' instead of dropping</t>
  </si>
  <si>
    <t xml:space="preserve">STK-05, 14</t>
  </si>
  <si>
    <t xml:space="preserve">Stock shortage ('12 darwaze kam pade', 'das faltu mile') → no adjustment</t>
  </si>
  <si>
    <t xml:space="preserve">Missed / Silent wrong</t>
  </si>
  <si>
    <t xml:space="preserve">Roadmap</t>
  </si>
  <si>
    <t xml:space="preserve">FAM-05, 08, 13</t>
  </si>
  <si>
    <t xml:space="preserve">Home gas cylinder recorded as business fuel; future plan ('safai karwani hai, 3000 lagenge') recorded; home groceries missed</t>
  </si>
  <si>
    <t xml:space="preserve">Silent wrong / Missed</t>
  </si>
  <si>
    <t xml:space="preserve">RPT-01, 07</t>
  </si>
  <si>
    <t xml:space="preserve">Person report requests ('Sohan ki dihadi', 'Kitanu ka … hisab') read as work-log / overall report without the name</t>
  </si>
  <si>
    <t xml:space="preserve">COR-01, 06</t>
  </si>
  <si>
    <t xml:space="preserve">'do baar chadh gayi' not recognised as correction; 'purana udhaar aaj utaar diya' recorded as opening balance instead of payment</t>
  </si>
  <si>
    <t xml:space="preserve">CUS-01, 06, 14, SUP-15, PUR-03, 12, EXP-03, FAM-11, RTR-02</t>
  </si>
  <si>
    <t xml:space="preserve">Single cases: asked an amount that was given; quantity 1 missing; 'sava sau … saade paanch' misread; recorded without asking the quantity; seller asked for a new machine (Safe ask); router sent 'hisab rakhoge na?' to accounting</t>
  </si>
  <si>
    <t xml:space="preserve">Roadmap / watch in real use</t>
  </si>
  <si>
    <t xml:space="preserve">see sheet</t>
  </si>
  <si>
    <t xml:space="preserve">Round-1 failures not covered by H1–H7 (EMP-02, 04, 06, CUS-08, 11, SUP-06, 08, 09, 13, STK-04, 11, 14, PUR-11, 13, FAM-05) — several repeat in round 2</t>
  </si>
  <si>
    <t xml:space="preserve">Next version — root-cause fixes found by the holdout (designed, not built)</t>
  </si>
  <si>
    <t xml:space="preserve">Principle: teach the system how to decide, instead of adding word lists for each new failure. Postponed on purpose: these change shared steps and need full re-runs of every bundle.</t>
  </si>
  <si>
    <t xml:space="preserve">Change</t>
  </si>
  <si>
    <t xml:space="preserve">Why (root cause)</t>
  </si>
  <si>
    <t xml:space="preserve">Expected effect</t>
  </si>
  <si>
    <t xml:space="preserve">Risk / test plan</t>
  </si>
  <si>
    <t xml:space="preserve">Give the grouping step the user's ORIGINAL statement, not only the split fragments</t>
  </si>
  <si>
    <t xml:space="preserve">Grouping sees '700 bante hain' without knowing it was Ram's; 'mange' dropped from 'Mange Ram'</t>
  </si>
  <si>
    <t xml:space="preserve">Amounts keep their owner; full names kept</t>
  </si>
  <si>
    <t xml:space="preserve">Touches every bundle → full re-run of all bundles</t>
  </si>
  <si>
    <t xml:space="preserve">Replace example lists in the grouping prompt with 5 decision principles: what moved (goods or money), copy names exactly, every amount has an owner, when (now / past mistake / future), place vs person</t>
  </si>
  <si>
    <t xml:space="preserve">1,600-line prompt with repeated and contradicting rules (e.g. '4 types' vs '3 types'; deal = standalone vs property net)</t>
  </si>
  <si>
    <t xml:space="preserve">Fewer new loopholes on unseen wording</t>
  </si>
  <si>
    <t xml:space="preserve">Contrastive examples only; leakage check; full re-run</t>
  </si>
  <si>
    <t xml:space="preserve">Code nets never discard information (name, group); longest known name wins; one final duplicate-merge at the end</t>
  </si>
  <si>
    <t xml:space="preserve">A net replaced 'Naresh' by 'payment'; 'Ram' matched inside 'Mange Ram'; a correction net can wipe a new entry in the same message</t>
  </si>
  <si>
    <t xml:space="preserve">No silent loss of a person or entry</t>
  </si>
  <si>
    <t xml:space="preserve">Unit tests per net + regression set</t>
  </si>
  <si>
    <t xml:space="preserve">When unsure, ask (e.g. 'ye 600 kiske hain?') instead of dropping or guessing</t>
  </si>
  <si>
    <t xml:space="preserve">Missed rows come from fragments with no owner</t>
  </si>
  <si>
    <t xml:space="preserve">Missed → Safe ask</t>
  </si>
  <si>
    <t xml:space="preserve">Small UI change; check question count stays low</t>
  </si>
  <si>
    <t xml:space="preserve">Log every user correction and every answered question in real use; review weekly</t>
  </si>
  <si>
    <t xml:space="preserve">Holdout shows new wording keeps appearing</t>
  </si>
  <si>
    <t xml:space="preserve">Real statements become the next test set</t>
  </si>
  <si>
    <t xml:space="preserve">Privacy: keep logs local</t>
  </si>
  <si>
    <t xml:space="preserve">Hindi and English full runs; Purchase dev fixes (C-07, E-06, B-08, E-03); request timeout</t>
  </si>
  <si>
    <t xml:space="preserve">Pending from the dev phase</t>
  </si>
  <si>
    <t xml:space="preserve">Hisab-Kitab AI — Test Methodology (v2: Employee, Customer, Supplier, Expense, Family, Stock, Purchase, Report, Correction)</t>
  </si>
  <si>
    <t xml:space="preserve">1. Purpose</t>
  </si>
  <si>
    <t xml:space="preserve">System under test</t>
  </si>
  <si>
    <t xml:space="preserve">Hisab-Kitab AI is an accounting assistant for a small brick &amp; timber salvage business. It understands business statements in Hinglish, Hindi (Devanagari) and English, and converts each statement into accounting entries: it identifies the person and their role, chooses the accounting action (tool) and extracts its arguments (type, amount, date, person).</t>
  </si>
  <si>
    <t xml:space="preserve">Pipeline</t>
  </si>
  <si>
    <t xml:space="preserve">Router → extraction → grouping → date resolution → person-role classification → tool decision → argument extraction → confirmation → execution. LLM: gpt-4o-mini, temperature 0 (LangGraph).</t>
  </si>
  <si>
    <t xml:space="preserve">What is measured</t>
  </si>
  <si>
    <t xml:space="preserve">Whether one statement produces exactly the right accounting entries — or, when information is missing or contradictory, asks instead of guessing. Reports, corrections and opening balances are tested separately (feature tests).</t>
  </si>
  <si>
    <t xml:space="preserve">2. Test set design</t>
  </si>
  <si>
    <t xml:space="preserve">Bundles</t>
  </si>
  <si>
    <t xml:space="preserve">Tests are organised by bundle (a group of related accounting actions). This workbook covers the Employee bundle (work, payment, attendance, driving).</t>
  </si>
  <si>
    <t xml:space="preserve">Size</t>
  </si>
  <si>
    <t xml:space="preserve">50 statements per bundle: 5 categories × 10. Mixed statements contain several events; every expected event is one scored row (Employee: 64 scored rows per language).</t>
  </si>
  <si>
    <t xml:space="preserve">A — Daily</t>
  </si>
  <si>
    <t xml:space="preserve">Statements the owner makes every day in our own business.</t>
  </si>
  <si>
    <t xml:space="preserve">B — Tricky</t>
  </si>
  <si>
    <t xml:space="preserve">Same meaning, less common wording: regional terms (tankhwah, haaziri), number formats (6k, dedh hazaar, words), relative dates (parso, weekday names), typos, payment apps.</t>
  </si>
  <si>
    <t xml:space="preserve">C — Edge</t>
  </si>
  <si>
    <t xml:space="preserve">Inputs where the system may fail: missing amount, unclear direction, a question that looks like an entry, negation, self-correction, contradiction, a new name, money returned by an employee. The correct outcome is often to ASK.</t>
  </si>
  <si>
    <t xml:space="preserve">D — Other business</t>
  </si>
  <si>
    <t xml:space="preserve">The same actions phrased the way other trades talk (tiles, grocery, tailoring, sand/gravel, dhaba, construction, hardware, mobile shop, furniture) — tests generalisation beyond our own vocabulary.</t>
  </si>
  <si>
    <t xml:space="preserve">E — Mixed</t>
  </si>
  <si>
    <t xml:space="preserve">One message with several unrelated events. Each statement contains at least one Employee event plus 1–3 events of other bundles (customer, supplier, expense, family, work log, material movement).</t>
  </si>
  <si>
    <t xml:space="preserve">Languages</t>
  </si>
  <si>
    <t xml:space="preserve">Parallel test set: the SAME 50 statements are run three times — Hinglish, Hindi (Devanagari) and English. Content is identical, only the language changes, so differences in accuracy are caused by language alone. Names are written in the language of the run, and the seed data uses the same script.</t>
  </si>
  <si>
    <t xml:space="preserve">3. Expected outcome (written before running)</t>
  </si>
  <si>
    <t xml:space="preserve">The listed entries must be recorded with the expected tool and key arguments.</t>
  </si>
  <si>
    <t xml:space="preserve">The system must ask a question before recording (amount missing, contradiction, unclear direction, new name).</t>
  </si>
  <si>
    <t xml:space="preserve">Nothing may be recorded (a question / report request, negation, a future plan).</t>
  </si>
  <si>
    <t xml:space="preserve">4. Result labels</t>
  </si>
  <si>
    <t xml:space="preserve">Right tool and every key argument: transaction type / attendance / driving, amount, date, and the same person as in the seed data. For ASK: the right kind of question was asked. For NO-ENTRY: nothing recorded.</t>
  </si>
  <si>
    <t xml:space="preserve">Nothing recorded, but the system asked a question although a correct entry was possible (only a question about the CORRECT action counts, e.g. asking the amount when it was already stated).</t>
  </si>
  <si>
    <t xml:space="preserve">A wrong entry was recorded without asking: wrong tool, amount, date, person or direction, a duplicate/extra entry, or any entry where ASK / NO-ENTRY was expected (even if the guess happened to be right). Most serious failure.</t>
  </si>
  <si>
    <t xml:space="preserve">An expected entry was not recorded and no relevant question was asked: routed to chat, a question about an unrelated thing (e.g. location type for a salary payment), blocked by such a question, or a crash.</t>
  </si>
  <si>
    <t xml:space="preserve">Not scored</t>
  </si>
  <si>
    <t xml:space="preserve">Designed confirmations (role confirmation for a known name, final 'Execute? yes/no') are part of the flow. Secondary fields are reported in remarks but not scored: payment method / app, free-text note, expense category wording.</t>
  </si>
  <si>
    <t xml:space="preserve">5. Metrics</t>
  </si>
  <si>
    <t xml:space="preserve">Correct ÷ scored rows — how often the system did exactly the right thing.</t>
  </si>
  <si>
    <t xml:space="preserve">Safe rate (no-harm)</t>
  </si>
  <si>
    <t xml:space="preserve">(Correct + Safe ask) ÷ scored rows — how often the books were NOT damaged.</t>
  </si>
  <si>
    <t xml:space="preserve">Silent wrong ÷ scored rows — how often a wrong entry entered the books without warning.</t>
  </si>
  <si>
    <t xml:space="preserve">Precision</t>
  </si>
  <si>
    <t xml:space="preserve">Correct entries ÷ all entries recorded — when the system writes something, how often it is right.</t>
  </si>
  <si>
    <t xml:space="preserve">Recall</t>
  </si>
  <si>
    <t xml:space="preserve">Correct entries ÷ entries that should have been recorded (ENTRY rows).</t>
  </si>
  <si>
    <t xml:space="preserve">Confidence interval</t>
  </si>
  <si>
    <t xml:space="preserve">95% Wilson interval for every accuracy, because 10–64 rows give a wide range.</t>
  </si>
  <si>
    <t xml:space="preserve">6. Rules for a fair measurement</t>
  </si>
  <si>
    <t xml:space="preserve">Frozen set</t>
  </si>
  <si>
    <t xml:space="preserve">Statements and expected answers were written and locked before the first run; any change creates v2.</t>
  </si>
  <si>
    <t xml:space="preserve">Dev vs Test</t>
  </si>
  <si>
    <t xml:space="preserve">Prompts are fixed only using the Dev Set; the test set is used only for measuring, so tuning does not inflate accuracy.</t>
  </si>
  <si>
    <t xml:space="preserve">Independent tests</t>
  </si>
  <si>
    <t xml:space="preserve">Before EVERY statement the test database is wiped and re-seeded (Seed Data sheet), so one test cannot influence another.</t>
  </si>
  <si>
    <t xml:space="preserve">Test date</t>
  </si>
  <si>
    <t xml:space="preserve">Run date T = 2026-10-04 (Sunday). Relative dates: T-1 = 2026-10-03, T-2 = 2026-10-02, last Monday = 2026-09-28, last Saturday = 2026-10-03.</t>
  </si>
  <si>
    <t xml:space="preserve">Automation</t>
  </si>
  <si>
    <t xml:space="preserve">test/HK_Testing.py runs each statement through the real graph, answers designed questions (role) from the test file, says 'yes' at confirmation, and stops at any other question. Every run saves a full log and a JSON record.</t>
  </si>
  <si>
    <t xml:space="preserve">Before / after</t>
  </si>
  <si>
    <t xml:space="preserve">These are the BEFORE-FIX numbers (v1 prompts). After fixes, the same frozen set is re-run and both are reported.</t>
  </si>
  <si>
    <t xml:space="preserve">7. Limitations</t>
  </si>
  <si>
    <t xml:space="preserve">Author-written</t>
  </si>
  <si>
    <t xml:space="preserve">Statements were written by the developers, not collected from real users; real statements from the business will be added.</t>
  </si>
  <si>
    <t xml:space="preserve">One model, one run</t>
  </si>
  <si>
    <t xml:space="preserve">Only gpt-4o-mini, one run per language so far (LLM output can vary slightly between runs).</t>
  </si>
  <si>
    <t xml:space="preserve">Runner stops at questions</t>
  </si>
  <si>
    <t xml:space="preserve">When the system asks an unscripted question the test stops there; in a mixed statement this also blocks the other events (scored as Missed).</t>
  </si>
  <si>
    <t xml:space="preserve">8. Colour legend</t>
  </si>
  <si>
    <t xml:space="preserve">Yellow</t>
  </si>
  <si>
    <t xml:space="preserve">Written before running (statement + expected answer).</t>
  </si>
  <si>
    <t xml:space="preserve">Green</t>
  </si>
  <si>
    <t xml:space="preserve">Filled from the run (actual output, result, remark).</t>
  </si>
  <si>
    <t xml:space="preserve">Result colour</t>
  </si>
  <si>
    <t xml:space="preserve">9. What changed in v2</t>
  </si>
  <si>
    <t xml:space="preserve">Customer bundle</t>
  </si>
  <si>
    <t xml:space="preserve">50 locked statements (A–E × 10) in Hinglish, Hindi and English; 65+ expected entries. Seed adds 2 customers (Suresh Traders with 6000 opening balance, Sharma ji).</t>
  </si>
  <si>
    <t xml:space="preserve">F — Field extraction</t>
  </si>
  <si>
    <t xml:space="preserve">10 statements per bundle where EVERY field is checked separately (note, payment method/provider, phone, address, role, driving). Locked before the note fix.</t>
  </si>
  <si>
    <t xml:space="preserve">ASK counted as Correct</t>
  </si>
  <si>
    <t xml:space="preserve">When the test expects ASK and the system asks for the missing value, the row is Correct. A question for an unrelated reason stays Safe ask.</t>
  </si>
  <si>
    <t xml:space="preserve">Runner answers</t>
  </si>
  <si>
    <t xml:space="preserve">Role questions and 'what is this location?' questions are answered from the test's roles (Customer → customer). A name not in the test's roles still stops the test, so wrong locations are not hidden.</t>
  </si>
  <si>
    <t xml:space="preserve">Full run only</t>
  </si>
  <si>
    <t xml:space="preserve">After-fix numbers are taken from ONE full run of each bundle (all tests in the same run, same code), so every number matches a saved run file. Targeted re-runs used while fixing are not counted. Exceptions (marked): Correction and Employee F = latest result per test.</t>
  </si>
  <si>
    <t xml:space="preserve">Leakage check</t>
  </si>
  <si>
    <t xml:space="preserve">Every new prompt example was compared with every test statement (difflib similarity ≤ 0.69) so the model is not taught the test answers.</t>
  </si>
  <si>
    <t xml:space="preserve">Cost control</t>
  </si>
  <si>
    <t xml:space="preserve">Prompt sliced by bundle (~79% fewer tokens); Hinglish-only runs during fixing; all 3 languages at milestones.</t>
  </si>
  <si>
    <t xml:space="preserve">Supplier bundle</t>
  </si>
  <si>
    <t xml:space="preserve">50 locked statements (A–E × 10), 86 expected entries at baseline. Before = baseline run re-scored with the final scorer; After = full 50-test run + targeted re-run of the 10 tests fixed after it. The full run alone is shown as a separate column and row.</t>
  </si>
  <si>
    <t xml:space="preserve">Expense bundle</t>
  </si>
  <si>
    <t xml:space="preserve">50 locked statements (A–E × 10), 98 expected entries. A paid expense = 2 entries (expense + expense_payment), because only the payment moves cash. Before = baseline run (16:46); After = full 50-test run (17:42), latest run per test.</t>
  </si>
  <si>
    <t xml:space="preserve">Family bundle</t>
  </si>
  <si>
    <t xml:space="preserve">50 locked statements, 64 expected entries (v1.1: D-09 changed to ASK — goods to a customer without price asks the amount, same as CUS-C-02). Before = baseline 2026-10-06 18:23 re-scored with v1.1; After = full 50-test run 2026-10-07 12:15.</t>
  </si>
  <si>
    <t xml:space="preserve">Stock bundle</t>
  </si>
  <si>
    <t xml:space="preserve">50 locked statements, 58 expected entries; movement, adjustment (+/− quantity) and work log. Before = baseline 2026-10-08 06:19; After = full 50-test run 07:07 (the E-05 crash fixed afterwards is kept as Missed).</t>
  </si>
  <si>
    <t xml:space="preserve">Purchase bundle</t>
  </si>
  <si>
    <t xml:space="preserve">50 locked statements, 70 expected entries after fixes (74 rows at baseline incl. extra entries); house/property deals, malba, purchase payments. Before = baseline 08:00; After = latest run per test (no full run yet).</t>
  </si>
  <si>
    <t xml:space="preserve">Report bundle</t>
  </si>
  <si>
    <t xml:space="preserve">20 statements (A person report, B other reports, C edge, D not a report). Only the LLM part: route, kind, name, role, dates, language at the first question. Before = 10:58 (the 10:52 run is invalid: runner bug); After = full run 11:16.</t>
  </si>
  <si>
    <t xml:space="preserve">Router bundle</t>
  </si>
  <si>
    <t xml:space="preserve">30 statements (A general chat, B chat that looks like business, C entry that sounds like chat, D report or entry). Route-only mode: only the router runs (1 LLM call per test). One full run, no fixes.</t>
  </si>
  <si>
    <t xml:space="preserve">Correction bundle</t>
  </si>
  <si>
    <t xml:space="preserve">25 statements (A name + date, B no name / date, C new entry + correction, D not a correction). Name and date read from correction_data at the first correction question; a wrong new entry prepared alongside a correction counts as Silent wrong. Before = 11:28; After = latest per test (11:28 + 11:57).</t>
  </si>
  <si>
    <t xml:space="preserve">Scorer changes (2026-10-06)</t>
  </si>
  <si>
    <t xml:space="preserve">Name typo ≥ 80% similar counts as the same name (the misspelt name is not in the DB, so no system could know the spelling); the 'samajh nahi aaya … kisko/kisse' message on an ASK test is a Safe ask; 2 ton = 2000 kg.</t>
  </si>
  <si>
    <t xml:space="preserve">10. Holdout evaluation</t>
  </si>
  <si>
    <t xml:space="preserve">Holdout (unseen data)</t>
  </si>
  <si>
    <t xml:space="preserve">Two rounds of 135 statements each (7 entry bundles × 15: 8 papa-style + 7 mixed; Report / Correction / Router × 10), written by the assistant in the owner's business style, locked by the user before each run, checked for leakage (≤ 0.69) against prompts, dev tests and the earlier round. Hinglish only, one run each.</t>
  </si>
  <si>
    <t xml:space="preserve">Round 1 → fixes → Round 2</t>
  </si>
  <si>
    <t xml:space="preserve">Round 1 (14:40) found 7 failure families; they were fixed (Changelog H1–H7) and checked on a 19-test regression set. Round 2 (16:51) is new data, run once with no fixes after it — this is the final result on unseen data.</t>
  </si>
  <si>
    <t xml:space="preserve">Papa-style = tests 01–08 of each entry bundle (the owner's own way of speaking); Mixed = 09–15 (daily, tricky, incomplete, several actions, no entry).</t>
  </si>
  <si>
    <t xml:space="preserve">Starting database state — wiped and re-created before EVERY statement</t>
  </si>
  <si>
    <t xml:space="preserve">Name (Hinglish / English run)</t>
  </si>
  <si>
    <t xml:space="preserve">Name (Hindi run)</t>
  </si>
  <si>
    <t xml:space="preserve">Opening balance</t>
  </si>
  <si>
    <t xml:space="preserve">राम</t>
  </si>
  <si>
    <t xml:space="preserve">-</t>
  </si>
  <si>
    <t xml:space="preserve">सोहन</t>
  </si>
  <si>
    <t xml:space="preserve">कितनू</t>
  </si>
  <si>
    <t xml:space="preserve">Employee (driver)</t>
  </si>
  <si>
    <t xml:space="preserve">सुरेश ट्रेडर्स</t>
  </si>
  <si>
    <t xml:space="preserve">6000 (lena)</t>
  </si>
  <si>
    <t xml:space="preserve">शर्मा जी</t>
  </si>
  <si>
    <t xml:space="preserve">एसबीआई भट्टा</t>
  </si>
  <si>
    <t xml:space="preserve">Supplier (bhatta)</t>
  </si>
  <si>
    <t xml:space="preserve">5000 (dena)</t>
  </si>
  <si>
    <t xml:space="preserve">पापा</t>
  </si>
  <si>
    <t xml:space="preserve">Family (papa)</t>
  </si>
  <si>
    <t xml:space="preserve">Gudam, Godam, Shop, Dukaan</t>
  </si>
  <si>
    <t xml:space="preserve">गोदाम, दुकान</t>
  </si>
  <si>
    <t xml:space="preserve">Storage locations</t>
  </si>
  <si>
    <t xml:space="preserve">Cash</t>
  </si>
  <si>
    <t xml:space="preserve">Cash in hand</t>
  </si>
  <si>
    <t xml:space="preserve">40000</t>
  </si>
  <si>
    <t xml:space="preserve">Not in DB on purpose</t>
  </si>
  <si>
    <t xml:space="preserve">Mukesh, Bablu, Jagdish, Deepak + customer-test names (Gupta ji, Verma ji, …)</t>
  </si>
  <si>
    <t xml:space="preserve">role is asked</t>
  </si>
</sst>
</file>

<file path=xl/styles.xml><?xml version="1.0" encoding="utf-8"?>
<styleSheet xmlns="http://schemas.openxmlformats.org/spreadsheetml/2006/main">
  <numFmts count="3">
    <numFmt numFmtId="164" formatCode="General"/>
    <numFmt numFmtId="165" formatCode="0.0%;\-0.0%;\-"/>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2"/>
      <color rgb="FF1F3864"/>
      <name val="Arial"/>
      <family val="0"/>
      <charset val="1"/>
    </font>
    <font>
      <b val="true"/>
      <sz val="10"/>
      <color rgb="FFFFFFFF"/>
      <name val="Arial"/>
      <family val="0"/>
      <charset val="1"/>
    </font>
    <font>
      <sz val="10"/>
      <name val="Arial"/>
      <family val="0"/>
      <charset val="1"/>
    </font>
    <font>
      <b val="true"/>
      <sz val="14"/>
      <color rgb="FF1F3864"/>
      <name val="Arial"/>
      <family val="0"/>
      <charset val="1"/>
    </font>
  </fonts>
  <fills count="9">
    <fill>
      <patternFill patternType="none"/>
    </fill>
    <fill>
      <patternFill patternType="gray125"/>
    </fill>
    <fill>
      <patternFill patternType="solid">
        <fgColor rgb="FFFFF2CC"/>
        <bgColor rgb="FFE2EFDA"/>
      </patternFill>
    </fill>
    <fill>
      <patternFill patternType="solid">
        <fgColor rgb="FFE2EFDA"/>
        <bgColor rgb="FFC6EFCE"/>
      </patternFill>
    </fill>
    <fill>
      <patternFill patternType="solid">
        <fgColor rgb="FF1F3864"/>
        <bgColor rgb="FF333333"/>
      </patternFill>
    </fill>
    <fill>
      <patternFill patternType="solid">
        <fgColor rgb="FFC6EFCE"/>
        <bgColor rgb="FFE2EFDA"/>
      </patternFill>
    </fill>
    <fill>
      <patternFill patternType="solid">
        <fgColor rgb="FFFFEB9C"/>
        <bgColor rgb="FFFFF2CC"/>
      </patternFill>
    </fill>
    <fill>
      <patternFill patternType="solid">
        <fgColor rgb="FFFFC7CE"/>
        <bgColor rgb="FFD9D9D9"/>
      </patternFill>
    </fill>
    <fill>
      <patternFill patternType="solid">
        <fgColor rgb="FFD9D9D9"/>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EB9C"/>
        </patternFill>
      </fill>
    </dxf>
    <dxf>
      <fill>
        <patternFill>
          <bgColor rgb="FFFFC7CE"/>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1" min="2" style="0" width="13"/>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n">
        <v>1.96</v>
      </c>
      <c r="C3" s="2" t="s">
        <v>3</v>
      </c>
    </row>
    <row r="4" customFormat="false" ht="15" hidden="false" customHeight="false" outlineLevel="0" collapsed="false">
      <c r="A4" s="5" t="s">
        <v>4</v>
      </c>
      <c r="E4" s="6" t="n">
        <f aca="false">'Holdout Summary'!G16</f>
        <v>0.753012048192771</v>
      </c>
      <c r="F4" s="2" t="s">
        <v>5</v>
      </c>
      <c r="G4" s="6" t="n">
        <f aca="false">'Holdout Summary'!K16</f>
        <v>0.0963855421686747</v>
      </c>
      <c r="H4" s="2" t="s">
        <v>6</v>
      </c>
    </row>
    <row r="5" customFormat="false" ht="15" hidden="false" customHeight="false" outlineLevel="0" collapsed="false">
      <c r="A5" s="7" t="s">
        <v>7</v>
      </c>
    </row>
    <row r="6" customFormat="false" ht="23.85" hidden="false" customHeight="false" outlineLevel="0" collapsed="false">
      <c r="A6" s="8" t="s">
        <v>8</v>
      </c>
      <c r="B6" s="8" t="s">
        <v>9</v>
      </c>
      <c r="C6" s="8" t="s">
        <v>10</v>
      </c>
      <c r="D6" s="8" t="s">
        <v>11</v>
      </c>
      <c r="E6" s="8" t="s">
        <v>12</v>
      </c>
      <c r="F6" s="8" t="s">
        <v>13</v>
      </c>
      <c r="G6" s="8" t="s">
        <v>14</v>
      </c>
    </row>
    <row r="7" customFormat="false" ht="15" hidden="false" customHeight="false" outlineLevel="0" collapsed="false">
      <c r="A7" s="3" t="s">
        <v>15</v>
      </c>
      <c r="B7" s="9" t="n">
        <f aca="false">B40</f>
        <v>64</v>
      </c>
      <c r="C7" s="10" t="n">
        <f aca="false">G40</f>
        <v>0.421875</v>
      </c>
      <c r="D7" s="10" t="n">
        <f aca="false">H40</f>
        <v>0.308695936614516</v>
      </c>
      <c r="E7" s="10" t="n">
        <f aca="false">I40</f>
        <v>0.543901879474728</v>
      </c>
      <c r="F7" s="10" t="n">
        <f aca="false">J40</f>
        <v>0.46875</v>
      </c>
      <c r="G7" s="10" t="n">
        <f aca="false">K40</f>
        <v>0.234375</v>
      </c>
    </row>
    <row r="8" customFormat="false" ht="15" hidden="false" customHeight="false" outlineLevel="0" collapsed="false">
      <c r="A8" s="3" t="s">
        <v>16</v>
      </c>
      <c r="B8" s="9" t="n">
        <f aca="false">B50</f>
        <v>66</v>
      </c>
      <c r="C8" s="10" t="n">
        <f aca="false">G50</f>
        <v>0.893939393939394</v>
      </c>
      <c r="D8" s="10" t="n">
        <f aca="false">H50</f>
        <v>0.796874742611854</v>
      </c>
      <c r="E8" s="10" t="n">
        <f aca="false">I50</f>
        <v>0.947667192280818</v>
      </c>
      <c r="F8" s="10" t="n">
        <f aca="false">J50</f>
        <v>0.909090909090909</v>
      </c>
      <c r="G8" s="10" t="n">
        <f aca="false">K50</f>
        <v>0.0757575757575758</v>
      </c>
    </row>
    <row r="9" customFormat="false" ht="15" hidden="false" customHeight="false" outlineLevel="0" collapsed="false">
      <c r="A9" s="3" t="s">
        <v>17</v>
      </c>
      <c r="B9" s="9" t="n">
        <f aca="false">B60</f>
        <v>72</v>
      </c>
      <c r="C9" s="10" t="n">
        <f aca="false">G60</f>
        <v>0.541666666666667</v>
      </c>
      <c r="D9" s="10" t="n">
        <f aca="false">H60</f>
        <v>0.427396641967076</v>
      </c>
      <c r="E9" s="10" t="n">
        <f aca="false">I60</f>
        <v>0.651715613048641</v>
      </c>
      <c r="F9" s="10" t="n">
        <f aca="false">J60</f>
        <v>0.541666666666667</v>
      </c>
      <c r="G9" s="10" t="n">
        <f aca="false">K60</f>
        <v>0.166666666666667</v>
      </c>
    </row>
    <row r="10" customFormat="false" ht="15" hidden="false" customHeight="false" outlineLevel="0" collapsed="false">
      <c r="A10" s="3" t="s">
        <v>18</v>
      </c>
      <c r="B10" s="9" t="n">
        <f aca="false">B70</f>
        <v>67</v>
      </c>
      <c r="C10" s="10" t="n">
        <f aca="false">G70</f>
        <v>0.955223880597015</v>
      </c>
      <c r="D10" s="10" t="n">
        <f aca="false">H70</f>
        <v>0.876419674894607</v>
      </c>
      <c r="E10" s="10" t="n">
        <f aca="false">I70</f>
        <v>0.984656303061848</v>
      </c>
      <c r="F10" s="10" t="n">
        <f aca="false">J70</f>
        <v>0.985074626865672</v>
      </c>
      <c r="G10" s="10" t="n">
        <f aca="false">K70</f>
        <v>0.0149253731343284</v>
      </c>
    </row>
    <row r="11" customFormat="false" ht="15" hidden="false" customHeight="false" outlineLevel="0" collapsed="false">
      <c r="A11" s="3" t="s">
        <v>19</v>
      </c>
      <c r="B11" s="9" t="n">
        <f aca="false">B80</f>
        <v>86</v>
      </c>
      <c r="C11" s="10" t="n">
        <f aca="false">G80</f>
        <v>0.511627906976744</v>
      </c>
      <c r="D11" s="10" t="n">
        <f aca="false">H80</f>
        <v>0.40776537267247</v>
      </c>
      <c r="E11" s="10" t="n">
        <f aca="false">I80</f>
        <v>0.614496029617783</v>
      </c>
      <c r="F11" s="10" t="n">
        <f aca="false">J80</f>
        <v>0.581395348837209</v>
      </c>
      <c r="G11" s="10" t="n">
        <f aca="false">K80</f>
        <v>0.151162790697674</v>
      </c>
    </row>
    <row r="12" customFormat="false" ht="15" hidden="false" customHeight="false" outlineLevel="0" collapsed="false">
      <c r="A12" s="3" t="s">
        <v>20</v>
      </c>
      <c r="B12" s="9" t="n">
        <f aca="false">B90</f>
        <v>82</v>
      </c>
      <c r="C12" s="10" t="n">
        <f aca="false">G90</f>
        <v>0.853658536585366</v>
      </c>
      <c r="D12" s="10" t="n">
        <f aca="false">H90</f>
        <v>0.761403860428778</v>
      </c>
      <c r="E12" s="10" t="n">
        <f aca="false">I90</f>
        <v>0.914259221340434</v>
      </c>
      <c r="F12" s="10" t="n">
        <f aca="false">J90</f>
        <v>0.890243902439024</v>
      </c>
      <c r="G12" s="10" t="n">
        <f aca="false">K90</f>
        <v>0.0853658536585366</v>
      </c>
    </row>
    <row r="13" customFormat="false" ht="15" hidden="false" customHeight="false" outlineLevel="0" collapsed="false">
      <c r="A13" s="3" t="s">
        <v>21</v>
      </c>
      <c r="B13" s="9" t="n">
        <f aca="false">B100</f>
        <v>109</v>
      </c>
      <c r="C13" s="10" t="n">
        <f aca="false">G100</f>
        <v>0.477064220183486</v>
      </c>
      <c r="D13" s="10" t="n">
        <f aca="false">H100</f>
        <v>0.385683527033466</v>
      </c>
      <c r="E13" s="10" t="n">
        <f aca="false">I100</f>
        <v>0.57000657307146</v>
      </c>
      <c r="F13" s="10" t="n">
        <f aca="false">J100</f>
        <v>0.559633027522936</v>
      </c>
      <c r="G13" s="10" t="n">
        <f aca="false">K100</f>
        <v>0.100917431192661</v>
      </c>
    </row>
    <row r="14" customFormat="false" ht="15" hidden="false" customHeight="false" outlineLevel="0" collapsed="false">
      <c r="A14" s="3" t="s">
        <v>22</v>
      </c>
      <c r="B14" s="9" t="n">
        <f aca="false">B110</f>
        <v>105</v>
      </c>
      <c r="C14" s="10" t="n">
        <f aca="false">G110</f>
        <v>0.961904761904762</v>
      </c>
      <c r="D14" s="10" t="n">
        <f aca="false">H110</f>
        <v>0.906115581467651</v>
      </c>
      <c r="E14" s="10" t="n">
        <f aca="false">I110</f>
        <v>0.985087781952218</v>
      </c>
      <c r="F14" s="10" t="n">
        <f aca="false">J110</f>
        <v>0.990476190476191</v>
      </c>
      <c r="G14" s="10" t="n">
        <f aca="false">K110</f>
        <v>0</v>
      </c>
    </row>
    <row r="15" customFormat="false" ht="15" hidden="false" customHeight="false" outlineLevel="0" collapsed="false">
      <c r="A15" s="3" t="s">
        <v>23</v>
      </c>
      <c r="B15" s="9" t="n">
        <f aca="false">B120</f>
        <v>75</v>
      </c>
      <c r="C15" s="10" t="n">
        <f aca="false">G120</f>
        <v>0.546666666666667</v>
      </c>
      <c r="D15" s="10" t="n">
        <f aca="false">H120</f>
        <v>0.434481736991482</v>
      </c>
      <c r="E15" s="10" t="n">
        <f aca="false">I120</f>
        <v>0.654303878724079</v>
      </c>
      <c r="F15" s="10" t="n">
        <f aca="false">J120</f>
        <v>0.653333333333333</v>
      </c>
      <c r="G15" s="10" t="n">
        <f aca="false">K120</f>
        <v>0.16</v>
      </c>
    </row>
    <row r="16" customFormat="false" ht="15" hidden="false" customHeight="false" outlineLevel="0" collapsed="false">
      <c r="A16" s="3" t="s">
        <v>24</v>
      </c>
      <c r="B16" s="9" t="n">
        <f aca="false">B130</f>
        <v>69</v>
      </c>
      <c r="C16" s="10" t="n">
        <f aca="false">G130</f>
        <v>0.971014492753623</v>
      </c>
      <c r="D16" s="10" t="n">
        <f aca="false">H130</f>
        <v>0.900332265387343</v>
      </c>
      <c r="E16" s="10" t="n">
        <f aca="false">I130</f>
        <v>0.992014964766855</v>
      </c>
      <c r="F16" s="10" t="n">
        <f aca="false">J130</f>
        <v>0.985507246376812</v>
      </c>
      <c r="G16" s="10" t="n">
        <f aca="false">K130</f>
        <v>0.0144927536231884</v>
      </c>
    </row>
    <row r="17" customFormat="false" ht="15" hidden="false" customHeight="false" outlineLevel="0" collapsed="false">
      <c r="A17" s="3" t="s">
        <v>25</v>
      </c>
      <c r="B17" s="9" t="n">
        <f aca="false">B140</f>
        <v>67</v>
      </c>
      <c r="C17" s="10" t="n">
        <f aca="false">G140</f>
        <v>0.626865671641791</v>
      </c>
      <c r="D17" s="10" t="n">
        <f aca="false">H140</f>
        <v>0.507151864575127</v>
      </c>
      <c r="E17" s="10" t="n">
        <f aca="false">I140</f>
        <v>0.73282012928159</v>
      </c>
      <c r="F17" s="10" t="n">
        <f aca="false">J140</f>
        <v>0.641791044776119</v>
      </c>
      <c r="G17" s="10" t="n">
        <f aca="false">K140</f>
        <v>0.0597014925373134</v>
      </c>
    </row>
    <row r="18" customFormat="false" ht="15" hidden="false" customHeight="false" outlineLevel="0" collapsed="false">
      <c r="A18" s="3" t="s">
        <v>26</v>
      </c>
      <c r="B18" s="9" t="n">
        <f aca="false">B150</f>
        <v>64</v>
      </c>
      <c r="C18" s="10" t="n">
        <f aca="false">G150</f>
        <v>0.96875</v>
      </c>
      <c r="D18" s="10" t="n">
        <f aca="false">H150</f>
        <v>0.893025061177058</v>
      </c>
      <c r="E18" s="10" t="n">
        <f aca="false">I150</f>
        <v>0.991388042287484</v>
      </c>
      <c r="F18" s="10" t="n">
        <f aca="false">J150</f>
        <v>0.96875</v>
      </c>
      <c r="G18" s="10" t="n">
        <f aca="false">K150</f>
        <v>0</v>
      </c>
    </row>
    <row r="19" customFormat="false" ht="15" hidden="false" customHeight="false" outlineLevel="0" collapsed="false">
      <c r="A19" s="3" t="s">
        <v>27</v>
      </c>
      <c r="B19" s="9" t="n">
        <f aca="false">B160</f>
        <v>74</v>
      </c>
      <c r="C19" s="10" t="n">
        <f aca="false">G160</f>
        <v>0.756756756756757</v>
      </c>
      <c r="D19" s="10" t="n">
        <f aca="false">H160</f>
        <v>0.647934561847326</v>
      </c>
      <c r="E19" s="10" t="n">
        <f aca="false">I160</f>
        <v>0.840236287672725</v>
      </c>
      <c r="F19" s="10" t="n">
        <f aca="false">J160</f>
        <v>0.756756756756757</v>
      </c>
      <c r="G19" s="10" t="n">
        <f aca="false">K160</f>
        <v>0.108108108108108</v>
      </c>
    </row>
    <row r="20" customFormat="false" ht="15" hidden="false" customHeight="false" outlineLevel="0" collapsed="false">
      <c r="A20" s="3" t="s">
        <v>28</v>
      </c>
      <c r="B20" s="9" t="n">
        <f aca="false">B170</f>
        <v>72</v>
      </c>
      <c r="C20" s="10" t="n">
        <f aca="false">G170</f>
        <v>0.888888888888889</v>
      </c>
      <c r="D20" s="10" t="n">
        <f aca="false">H170</f>
        <v>0.795768557414096</v>
      </c>
      <c r="E20" s="10" t="n">
        <f aca="false">I170</f>
        <v>0.942612489399262</v>
      </c>
      <c r="F20" s="10" t="n">
        <f aca="false">J170</f>
        <v>0.888888888888889</v>
      </c>
      <c r="G20" s="10" t="n">
        <f aca="false">K170</f>
        <v>0.0277777777777778</v>
      </c>
    </row>
    <row r="21" customFormat="false" ht="15" hidden="false" customHeight="false" outlineLevel="0" collapsed="false">
      <c r="A21" s="3" t="s">
        <v>29</v>
      </c>
      <c r="B21" s="9" t="n">
        <f aca="false">B179</f>
        <v>20</v>
      </c>
      <c r="C21" s="10" t="n">
        <f aca="false">G179</f>
        <v>0.7</v>
      </c>
      <c r="D21" s="10" t="n">
        <f aca="false">H179</f>
        <v>0.481023223771021</v>
      </c>
      <c r="E21" s="10" t="n">
        <f aca="false">I179</f>
        <v>0.854524726031006</v>
      </c>
      <c r="F21" s="10" t="n">
        <f aca="false">J179</f>
        <v>0.7</v>
      </c>
      <c r="G21" s="10" t="n">
        <f aca="false">K179</f>
        <v>0.25</v>
      </c>
    </row>
    <row r="22" customFormat="false" ht="15" hidden="false" customHeight="false" outlineLevel="0" collapsed="false">
      <c r="A22" s="3" t="s">
        <v>30</v>
      </c>
      <c r="B22" s="9" t="n">
        <f aca="false">B189</f>
        <v>20</v>
      </c>
      <c r="C22" s="10" t="n">
        <f aca="false">G189</f>
        <v>1</v>
      </c>
      <c r="D22" s="10" t="n">
        <f aca="false">H189</f>
        <v>0.838869874505067</v>
      </c>
      <c r="E22" s="10" t="n">
        <f aca="false">I189</f>
        <v>1</v>
      </c>
      <c r="F22" s="10" t="n">
        <f aca="false">J189</f>
        <v>1</v>
      </c>
      <c r="G22" s="10" t="n">
        <f aca="false">K189</f>
        <v>0</v>
      </c>
    </row>
    <row r="23" customFormat="false" ht="15" hidden="false" customHeight="false" outlineLevel="0" collapsed="false">
      <c r="A23" s="3" t="s">
        <v>31</v>
      </c>
      <c r="B23" s="9" t="n">
        <f aca="false">B199</f>
        <v>25</v>
      </c>
      <c r="C23" s="10" t="n">
        <f aca="false">G199</f>
        <v>0.76</v>
      </c>
      <c r="D23" s="10" t="n">
        <f aca="false">H199</f>
        <v>0.565699400447614</v>
      </c>
      <c r="E23" s="10" t="n">
        <f aca="false">I199</f>
        <v>0.885038422696733</v>
      </c>
      <c r="F23" s="10" t="n">
        <f aca="false">J199</f>
        <v>0.76</v>
      </c>
      <c r="G23" s="10" t="n">
        <f aca="false">K199</f>
        <v>0.24</v>
      </c>
    </row>
    <row r="24" customFormat="false" ht="15" hidden="false" customHeight="false" outlineLevel="0" collapsed="false">
      <c r="A24" s="3" t="s">
        <v>32</v>
      </c>
      <c r="B24" s="9" t="n">
        <f aca="false">B209</f>
        <v>25</v>
      </c>
      <c r="C24" s="10" t="n">
        <f aca="false">G209</f>
        <v>0.96</v>
      </c>
      <c r="D24" s="10" t="n">
        <f aca="false">H209</f>
        <v>0.804555275949775</v>
      </c>
      <c r="E24" s="10" t="n">
        <f aca="false">I209</f>
        <v>0.992903949613301</v>
      </c>
      <c r="F24" s="10" t="n">
        <f aca="false">J209</f>
        <v>0.96</v>
      </c>
      <c r="G24" s="10" t="n">
        <f aca="false">K209</f>
        <v>0.04</v>
      </c>
    </row>
    <row r="25" customFormat="false" ht="15" hidden="false" customHeight="false" outlineLevel="0" collapsed="false">
      <c r="A25" s="3" t="s">
        <v>33</v>
      </c>
      <c r="B25" s="9" t="n">
        <f aca="false">B219</f>
        <v>30</v>
      </c>
      <c r="C25" s="10" t="n">
        <f aca="false">G219</f>
        <v>1</v>
      </c>
      <c r="D25" s="10" t="n">
        <f aca="false">H219</f>
        <v>0.886482908609522</v>
      </c>
      <c r="E25" s="10" t="n">
        <f aca="false">I219</f>
        <v>1</v>
      </c>
      <c r="F25" s="10" t="n">
        <f aca="false">J219</f>
        <v>1</v>
      </c>
      <c r="G25" s="10" t="n">
        <f aca="false">K219</f>
        <v>0</v>
      </c>
    </row>
    <row r="26" customFormat="false" ht="15" hidden="false" customHeight="false" outlineLevel="0" collapsed="false">
      <c r="A26" s="3" t="s">
        <v>34</v>
      </c>
      <c r="B26" s="9" t="n">
        <f aca="false">B230</f>
        <v>64</v>
      </c>
      <c r="C26" s="10" t="n">
        <f aca="false">G230</f>
        <v>0.4375</v>
      </c>
      <c r="D26" s="10" t="n">
        <f aca="false">H230</f>
        <v>0.322938170654273</v>
      </c>
      <c r="E26" s="10" t="n">
        <f aca="false">I230</f>
        <v>0.559140082217121</v>
      </c>
      <c r="F26" s="10" t="n">
        <f aca="false">J230</f>
        <v>0.53125</v>
      </c>
      <c r="G26" s="10" t="n">
        <f aca="false">K230</f>
        <v>0.140625</v>
      </c>
    </row>
    <row r="27" customFormat="false" ht="15" hidden="false" customHeight="false" outlineLevel="0" collapsed="false">
      <c r="A27" s="3" t="s">
        <v>35</v>
      </c>
      <c r="B27" s="9" t="n">
        <f aca="false">B240</f>
        <v>66</v>
      </c>
      <c r="C27" s="10" t="n">
        <f aca="false">G240</f>
        <v>0.484848484848485</v>
      </c>
      <c r="D27" s="10" t="n">
        <f aca="false">H240</f>
        <v>0.368467620174255</v>
      </c>
      <c r="E27" s="10" t="n">
        <f aca="false">I240</f>
        <v>0.602896151560643</v>
      </c>
      <c r="F27" s="10" t="n">
        <f aca="false">J240</f>
        <v>0.53030303030303</v>
      </c>
      <c r="G27" s="10" t="n">
        <f aca="false">K240</f>
        <v>0.166666666666667</v>
      </c>
    </row>
    <row r="28" customFormat="false" ht="15" hidden="false" customHeight="false" outlineLevel="0" collapsed="false">
      <c r="A28" s="3" t="s">
        <v>36</v>
      </c>
      <c r="B28" s="9" t="n">
        <f aca="false">COUNTA('Employee F'!$G$5:$G$63)</f>
        <v>59</v>
      </c>
      <c r="C28" s="10" t="n">
        <f aca="false">IF(B28=0,"",COUNTIF('Employee F'!$G$5:$G$63,"Y")/B28)</f>
        <v>0.864406779661017</v>
      </c>
    </row>
    <row r="29" customFormat="false" ht="15" hidden="false" customHeight="false" outlineLevel="0" collapsed="false">
      <c r="A29" s="2" t="s">
        <v>37</v>
      </c>
    </row>
    <row r="30" customFormat="false" ht="15" hidden="false" customHeight="false" outlineLevel="0" collapsed="false">
      <c r="A30" s="2" t="s">
        <v>38</v>
      </c>
    </row>
    <row r="33" customFormat="false" ht="15" hidden="false" customHeight="false" outlineLevel="0" collapsed="false">
      <c r="A33" s="7" t="s">
        <v>39</v>
      </c>
    </row>
    <row r="34" customFormat="false" ht="23.85" hidden="false" customHeight="false" outlineLevel="0" collapsed="false">
      <c r="A34" s="8" t="s">
        <v>40</v>
      </c>
      <c r="B34" s="8" t="s">
        <v>9</v>
      </c>
      <c r="C34" s="8" t="s">
        <v>41</v>
      </c>
      <c r="D34" s="8" t="s">
        <v>42</v>
      </c>
      <c r="E34" s="8" t="s">
        <v>43</v>
      </c>
      <c r="F34" s="8" t="s">
        <v>44</v>
      </c>
      <c r="G34" s="8" t="s">
        <v>10</v>
      </c>
      <c r="H34" s="8" t="s">
        <v>11</v>
      </c>
      <c r="I34" s="8" t="s">
        <v>12</v>
      </c>
      <c r="J34" s="8" t="s">
        <v>13</v>
      </c>
      <c r="K34" s="8" t="s">
        <v>14</v>
      </c>
    </row>
    <row r="35" customFormat="false" ht="15" hidden="false" customHeight="false" outlineLevel="0" collapsed="false">
      <c r="A35" s="9" t="s">
        <v>45</v>
      </c>
      <c r="B35" s="9" t="n">
        <f aca="false">COUNTIFS(Employee!$M$5:$M$72,"&lt;&gt;",Employee!$B$5:$B$72,"A - Daily")</f>
        <v>10</v>
      </c>
      <c r="C35" s="9" t="n">
        <f aca="false">COUNTIFS(Employee!$M$5:$M$72,"Correct",Employee!$B$5:$B$72,"A - Daily")</f>
        <v>4</v>
      </c>
      <c r="D35" s="9" t="n">
        <f aca="false">COUNTIFS(Employee!$M$5:$M$72,"Safe ask",Employee!$B$5:$B$72,"A - Daily")</f>
        <v>0</v>
      </c>
      <c r="E35" s="9" t="n">
        <f aca="false">COUNTIFS(Employee!$M$5:$M$72,"Silent wrong",Employee!$B$5:$B$72,"A - Daily")</f>
        <v>1</v>
      </c>
      <c r="F35" s="9" t="n">
        <f aca="false">COUNTIFS(Employee!$M$5:$M$72,"Missed",Employee!$B$5:$B$72,"A - Daily")</f>
        <v>5</v>
      </c>
      <c r="G35" s="10" t="n">
        <f aca="false">IF(B35=0,"",C35/B35)</f>
        <v>0.4</v>
      </c>
      <c r="H35" s="10" t="n">
        <f aca="false">IF(B35=0,"",(((C35/B35)+$B$3^2/(2*B35))-($B$3*SQRT((C35/B35)*(1-(C35/B35))/B35+$B$3^2/(4*B35^2))))/(1+$B$3^2/B35))</f>
        <v>0.16817758120351</v>
      </c>
      <c r="I35" s="10" t="n">
        <f aca="false">IF(B35=0,"",(((C35/B35)+$B$3^2/(2*B35))+($B$3*SQRT((C35/B35)*(1-(C35/B35))/B35+$B$3^2/(4*B35^2))))/(1+$B$3^2/B35))</f>
        <v>0.687330452549814</v>
      </c>
      <c r="J35" s="10" t="n">
        <f aca="false">IF(B35=0,"",(C35+D35)/B35)</f>
        <v>0.4</v>
      </c>
      <c r="K35" s="10" t="n">
        <f aca="false">IF(B35=0,"",E35/B35)</f>
        <v>0.1</v>
      </c>
    </row>
    <row r="36" customFormat="false" ht="15" hidden="false" customHeight="false" outlineLevel="0" collapsed="false">
      <c r="A36" s="9" t="s">
        <v>46</v>
      </c>
      <c r="B36" s="9" t="n">
        <f aca="false">COUNTIFS(Employee!$M$5:$M$72,"&lt;&gt;",Employee!$B$5:$B$72,"B - Tricky")</f>
        <v>10</v>
      </c>
      <c r="C36" s="9" t="n">
        <f aca="false">COUNTIFS(Employee!$M$5:$M$72,"Correct",Employee!$B$5:$B$72,"B - Tricky")</f>
        <v>5</v>
      </c>
      <c r="D36" s="9" t="n">
        <f aca="false">COUNTIFS(Employee!$M$5:$M$72,"Safe ask",Employee!$B$5:$B$72,"B - Tricky")</f>
        <v>0</v>
      </c>
      <c r="E36" s="9" t="n">
        <f aca="false">COUNTIFS(Employee!$M$5:$M$72,"Silent wrong",Employee!$B$5:$B$72,"B - Tricky")</f>
        <v>4</v>
      </c>
      <c r="F36" s="9" t="n">
        <f aca="false">COUNTIFS(Employee!$M$5:$M$72,"Missed",Employee!$B$5:$B$72,"B - Tricky")</f>
        <v>1</v>
      </c>
      <c r="G36" s="10" t="n">
        <f aca="false">IF(B36=0,"",C36/B36)</f>
        <v>0.5</v>
      </c>
      <c r="H36" s="10" t="n">
        <f aca="false">IF(B36=0,"",(((C36/B36)+$B$3^2/(2*B36))-($B$3*SQRT((C36/B36)*(1-(C36/B36))/B36+$B$3^2/(4*B36^2))))/(1+$B$3^2/B36))</f>
        <v>0.236589593615487</v>
      </c>
      <c r="I36" s="10" t="n">
        <f aca="false">IF(B36=0,"",(((C36/B36)+$B$3^2/(2*B36))+($B$3*SQRT((C36/B36)*(1-(C36/B36))/B36+$B$3^2/(4*B36^2))))/(1+$B$3^2/B36))</f>
        <v>0.763410406384513</v>
      </c>
      <c r="J36" s="10" t="n">
        <f aca="false">IF(B36=0,"",(C36+D36)/B36)</f>
        <v>0.5</v>
      </c>
      <c r="K36" s="10" t="n">
        <f aca="false">IF(B36=0,"",E36/B36)</f>
        <v>0.4</v>
      </c>
    </row>
    <row r="37" customFormat="false" ht="15" hidden="false" customHeight="false" outlineLevel="0" collapsed="false">
      <c r="A37" s="9" t="s">
        <v>47</v>
      </c>
      <c r="B37" s="9" t="n">
        <f aca="false">COUNTIFS(Employee!$M$5:$M$72,"&lt;&gt;",Employee!$B$5:$B$72,"C - Edge")</f>
        <v>10</v>
      </c>
      <c r="C37" s="9" t="n">
        <f aca="false">COUNTIFS(Employee!$M$5:$M$72,"Correct",Employee!$B$5:$B$72,"C - Edge")</f>
        <v>3</v>
      </c>
      <c r="D37" s="9" t="n">
        <f aca="false">COUNTIFS(Employee!$M$5:$M$72,"Safe ask",Employee!$B$5:$B$72,"C - Edge")</f>
        <v>2</v>
      </c>
      <c r="E37" s="9" t="n">
        <f aca="false">COUNTIFS(Employee!$M$5:$M$72,"Silent wrong",Employee!$B$5:$B$72,"C - Edge")</f>
        <v>3</v>
      </c>
      <c r="F37" s="9" t="n">
        <f aca="false">COUNTIFS(Employee!$M$5:$M$72,"Missed",Employee!$B$5:$B$72,"C - Edge")</f>
        <v>2</v>
      </c>
      <c r="G37" s="10" t="n">
        <f aca="false">IF(B37=0,"",C37/B37)</f>
        <v>0.3</v>
      </c>
      <c r="H37" s="10" t="n">
        <f aca="false">IF(B37=0,"",(((C37/B37)+$B$3^2/(2*B37))-($B$3*SQRT((C37/B37)*(1-(C37/B37))/B37+$B$3^2/(4*B37^2))))/(1+$B$3^2/B37))</f>
        <v>0.107789287486212</v>
      </c>
      <c r="I37" s="10" t="n">
        <f aca="false">IF(B37=0,"",(((C37/B37)+$B$3^2/(2*B37))+($B$3*SQRT((C37/B37)*(1-(C37/B37))/B37+$B$3^2/(4*B37^2))))/(1+$B$3^2/B37))</f>
        <v>0.603226780020435</v>
      </c>
      <c r="J37" s="10" t="n">
        <f aca="false">IF(B37=0,"",(C37+D37)/B37)</f>
        <v>0.5</v>
      </c>
      <c r="K37" s="10" t="n">
        <f aca="false">IF(B37=0,"",E37/B37)</f>
        <v>0.3</v>
      </c>
    </row>
    <row r="38" customFormat="false" ht="15" hidden="false" customHeight="false" outlineLevel="0" collapsed="false">
      <c r="A38" s="9" t="s">
        <v>48</v>
      </c>
      <c r="B38" s="9" t="n">
        <f aca="false">COUNTIFS(Employee!$M$5:$M$72,"&lt;&gt;",Employee!$B$5:$B$72,"D - Other business")</f>
        <v>10</v>
      </c>
      <c r="C38" s="9" t="n">
        <f aca="false">COUNTIFS(Employee!$M$5:$M$72,"Correct",Employee!$B$5:$B$72,"D - Other business")</f>
        <v>3</v>
      </c>
      <c r="D38" s="9" t="n">
        <f aca="false">COUNTIFS(Employee!$M$5:$M$72,"Safe ask",Employee!$B$5:$B$72,"D - Other business")</f>
        <v>1</v>
      </c>
      <c r="E38" s="9" t="n">
        <f aca="false">COUNTIFS(Employee!$M$5:$M$72,"Silent wrong",Employee!$B$5:$B$72,"D - Other business")</f>
        <v>5</v>
      </c>
      <c r="F38" s="9" t="n">
        <f aca="false">COUNTIFS(Employee!$M$5:$M$72,"Missed",Employee!$B$5:$B$72,"D - Other business")</f>
        <v>1</v>
      </c>
      <c r="G38" s="10" t="n">
        <f aca="false">IF(B38=0,"",C38/B38)</f>
        <v>0.3</v>
      </c>
      <c r="H38" s="10" t="n">
        <f aca="false">IF(B38=0,"",(((C38/B38)+$B$3^2/(2*B38))-($B$3*SQRT((C38/B38)*(1-(C38/B38))/B38+$B$3^2/(4*B38^2))))/(1+$B$3^2/B38))</f>
        <v>0.107789287486212</v>
      </c>
      <c r="I38" s="10" t="n">
        <f aca="false">IF(B38=0,"",(((C38/B38)+$B$3^2/(2*B38))+($B$3*SQRT((C38/B38)*(1-(C38/B38))/B38+$B$3^2/(4*B38^2))))/(1+$B$3^2/B38))</f>
        <v>0.603226780020435</v>
      </c>
      <c r="J38" s="10" t="n">
        <f aca="false">IF(B38=0,"",(C38+D38)/B38)</f>
        <v>0.4</v>
      </c>
      <c r="K38" s="10" t="n">
        <f aca="false">IF(B38=0,"",E38/B38)</f>
        <v>0.5</v>
      </c>
    </row>
    <row r="39" customFormat="false" ht="15" hidden="false" customHeight="false" outlineLevel="0" collapsed="false">
      <c r="A39" s="9" t="s">
        <v>49</v>
      </c>
      <c r="B39" s="9" t="n">
        <f aca="false">COUNTIFS(Employee!$M$5:$M$72,"&lt;&gt;",Employee!$B$5:$B$72,"E - Mixed")</f>
        <v>24</v>
      </c>
      <c r="C39" s="9" t="n">
        <f aca="false">COUNTIFS(Employee!$M$5:$M$72,"Correct",Employee!$B$5:$B$72,"E - Mixed")</f>
        <v>12</v>
      </c>
      <c r="D39" s="9" t="n">
        <f aca="false">COUNTIFS(Employee!$M$5:$M$72,"Safe ask",Employee!$B$5:$B$72,"E - Mixed")</f>
        <v>0</v>
      </c>
      <c r="E39" s="9" t="n">
        <f aca="false">COUNTIFS(Employee!$M$5:$M$72,"Silent wrong",Employee!$B$5:$B$72,"E - Mixed")</f>
        <v>2</v>
      </c>
      <c r="F39" s="9" t="n">
        <f aca="false">COUNTIFS(Employee!$M$5:$M$72,"Missed",Employee!$B$5:$B$72,"E - Mixed")</f>
        <v>10</v>
      </c>
      <c r="G39" s="10" t="n">
        <f aca="false">IF(B39=0,"",C39/B39)</f>
        <v>0.5</v>
      </c>
      <c r="H39" s="10" t="n">
        <f aca="false">IF(B39=0,"",(((C39/B39)+$B$3^2/(2*B39))-($B$3*SQRT((C39/B39)*(1-(C39/B39))/B39+$B$3^2/(4*B39^2))))/(1+$B$3^2/B39))</f>
        <v>0.314271316277631</v>
      </c>
      <c r="I39" s="10" t="n">
        <f aca="false">IF(B39=0,"",(((C39/B39)+$B$3^2/(2*B39))+($B$3*SQRT((C39/B39)*(1-(C39/B39))/B39+$B$3^2/(4*B39^2))))/(1+$B$3^2/B39))</f>
        <v>0.685728683722369</v>
      </c>
      <c r="J39" s="10" t="n">
        <f aca="false">IF(B39=0,"",(C39+D39)/B39)</f>
        <v>0.5</v>
      </c>
      <c r="K39" s="10" t="n">
        <f aca="false">IF(B39=0,"",E39/B39)</f>
        <v>0.0833333333333333</v>
      </c>
    </row>
    <row r="40" customFormat="false" ht="15" hidden="false" customHeight="false" outlineLevel="0" collapsed="false">
      <c r="A40" s="3" t="s">
        <v>50</v>
      </c>
      <c r="B40" s="9" t="n">
        <f aca="false">COUNTIFS(Employee!$M$5:$M$72,"&lt;&gt;")</f>
        <v>64</v>
      </c>
      <c r="C40" s="9" t="n">
        <f aca="false">COUNTIFS(Employee!$M$5:$M$72,"Correct")</f>
        <v>27</v>
      </c>
      <c r="D40" s="9" t="n">
        <f aca="false">COUNTIFS(Employee!$M$5:$M$72,"Safe ask")</f>
        <v>3</v>
      </c>
      <c r="E40" s="9" t="n">
        <f aca="false">COUNTIFS(Employee!$M$5:$M$72,"Silent wrong")</f>
        <v>15</v>
      </c>
      <c r="F40" s="9" t="n">
        <f aca="false">COUNTIFS(Employee!$M$5:$M$72,"Missed")</f>
        <v>19</v>
      </c>
      <c r="G40" s="10" t="n">
        <f aca="false">IF(B40=0,"",C40/B40)</f>
        <v>0.421875</v>
      </c>
      <c r="H40" s="10" t="n">
        <f aca="false">IF(B40=0,"",(((C40/B40)+$B$3^2/(2*B40))-($B$3*SQRT((C40/B40)*(1-(C40/B40))/B40+$B$3^2/(4*B40^2))))/(1+$B$3^2/B40))</f>
        <v>0.308695936614516</v>
      </c>
      <c r="I40" s="10" t="n">
        <f aca="false">IF(B40=0,"",(((C40/B40)+$B$3^2/(2*B40))+($B$3*SQRT((C40/B40)*(1-(C40/B40))/B40+$B$3^2/(4*B40^2))))/(1+$B$3^2/B40))</f>
        <v>0.543901879474728</v>
      </c>
      <c r="J40" s="10" t="n">
        <f aca="false">IF(B40=0,"",(C40+D40)/B40)</f>
        <v>0.46875</v>
      </c>
      <c r="K40" s="10" t="n">
        <f aca="false">IF(B40=0,"",E40/B40)</f>
        <v>0.234375</v>
      </c>
    </row>
    <row r="43" customFormat="false" ht="15" hidden="false" customHeight="false" outlineLevel="0" collapsed="false">
      <c r="A43" s="7" t="s">
        <v>51</v>
      </c>
    </row>
    <row r="44" customFormat="false" ht="23.85" hidden="false" customHeight="false" outlineLevel="0" collapsed="false">
      <c r="A44" s="8" t="s">
        <v>40</v>
      </c>
      <c r="B44" s="8" t="s">
        <v>9</v>
      </c>
      <c r="C44" s="8" t="s">
        <v>41</v>
      </c>
      <c r="D44" s="8" t="s">
        <v>42</v>
      </c>
      <c r="E44" s="8" t="s">
        <v>43</v>
      </c>
      <c r="F44" s="8" t="s">
        <v>44</v>
      </c>
      <c r="G44" s="8" t="s">
        <v>10</v>
      </c>
      <c r="H44" s="8" t="s">
        <v>11</v>
      </c>
      <c r="I44" s="8" t="s">
        <v>12</v>
      </c>
      <c r="J44" s="8" t="s">
        <v>13</v>
      </c>
      <c r="K44" s="8" t="s">
        <v>14</v>
      </c>
    </row>
    <row r="45" customFormat="false" ht="15" hidden="false" customHeight="false" outlineLevel="0" collapsed="false">
      <c r="A45" s="9" t="s">
        <v>45</v>
      </c>
      <c r="B45" s="9" t="n">
        <f aca="false">COUNTIFS(Employee!$R$5:$R$72,"&lt;&gt;",Employee!$B$5:$B$72,"A - Daily")</f>
        <v>10</v>
      </c>
      <c r="C45" s="9" t="n">
        <f aca="false">COUNTIFS(Employee!$R$5:$R$72,"Correct",Employee!$B$5:$B$72,"A - Daily")</f>
        <v>10</v>
      </c>
      <c r="D45" s="9" t="n">
        <f aca="false">COUNTIFS(Employee!$R$5:$R$72,"Safe ask",Employee!$B$5:$B$72,"A - Daily")</f>
        <v>0</v>
      </c>
      <c r="E45" s="9" t="n">
        <f aca="false">COUNTIFS(Employee!$R$5:$R$72,"Silent wrong",Employee!$B$5:$B$72,"A - Daily")</f>
        <v>0</v>
      </c>
      <c r="F45" s="9" t="n">
        <f aca="false">COUNTIFS(Employee!$R$5:$R$72,"Missed",Employee!$B$5:$B$72,"A - Daily")</f>
        <v>0</v>
      </c>
      <c r="G45" s="10" t="n">
        <f aca="false">IF(B45=0,"",C45/B45)</f>
        <v>1</v>
      </c>
      <c r="H45" s="10" t="n">
        <f aca="false">IF(B45=0,"",(((C45/B45)+$B$3^2/(2*B45))-($B$3*SQRT((C45/B45)*(1-(C45/B45))/B45+$B$3^2/(4*B45^2))))/(1+$B$3^2/B45))</f>
        <v>0.722459831233383</v>
      </c>
      <c r="I45" s="10" t="n">
        <f aca="false">IF(B45=0,"",(((C45/B45)+$B$3^2/(2*B45))+($B$3*SQRT((C45/B45)*(1-(C45/B45))/B45+$B$3^2/(4*B45^2))))/(1+$B$3^2/B45))</f>
        <v>1</v>
      </c>
      <c r="J45" s="10" t="n">
        <f aca="false">IF(B45=0,"",(C45+D45)/B45)</f>
        <v>1</v>
      </c>
      <c r="K45" s="10" t="n">
        <f aca="false">IF(B45=0,"",E45/B45)</f>
        <v>0</v>
      </c>
    </row>
    <row r="46" customFormat="false" ht="15" hidden="false" customHeight="false" outlineLevel="0" collapsed="false">
      <c r="A46" s="9" t="s">
        <v>46</v>
      </c>
      <c r="B46" s="9" t="n">
        <f aca="false">COUNTIFS(Employee!$R$5:$R$72,"&lt;&gt;",Employee!$B$5:$B$72,"B - Tricky")</f>
        <v>11</v>
      </c>
      <c r="C46" s="9" t="n">
        <f aca="false">COUNTIFS(Employee!$R$5:$R$72,"Correct",Employee!$B$5:$B$72,"B - Tricky")</f>
        <v>10</v>
      </c>
      <c r="D46" s="9" t="n">
        <f aca="false">COUNTIFS(Employee!$R$5:$R$72,"Safe ask",Employee!$B$5:$B$72,"B - Tricky")</f>
        <v>0</v>
      </c>
      <c r="E46" s="9" t="n">
        <f aca="false">COUNTIFS(Employee!$R$5:$R$72,"Silent wrong",Employee!$B$5:$B$72,"B - Tricky")</f>
        <v>1</v>
      </c>
      <c r="F46" s="9" t="n">
        <f aca="false">COUNTIFS(Employee!$R$5:$R$72,"Missed",Employee!$B$5:$B$72,"B - Tricky")</f>
        <v>0</v>
      </c>
      <c r="G46" s="10" t="n">
        <f aca="false">IF(B46=0,"",C46/B46)</f>
        <v>0.909090909090909</v>
      </c>
      <c r="H46" s="10" t="n">
        <f aca="false">IF(B46=0,"",(((C46/B46)+$B$3^2/(2*B46))-($B$3*SQRT((C46/B46)*(1-(C46/B46))/B46+$B$3^2/(4*B46^2))))/(1+$B$3^2/B46))</f>
        <v>0.622635374513796</v>
      </c>
      <c r="I46" s="10" t="n">
        <f aca="false">IF(B46=0,"",(((C46/B46)+$B$3^2/(2*B46))+($B$3*SQRT((C46/B46)*(1-(C46/B46))/B46+$B$3^2/(4*B46^2))))/(1+$B$3^2/B46))</f>
        <v>0.983768247737174</v>
      </c>
      <c r="J46" s="10" t="n">
        <f aca="false">IF(B46=0,"",(C46+D46)/B46)</f>
        <v>0.909090909090909</v>
      </c>
      <c r="K46" s="10" t="n">
        <f aca="false">IF(B46=0,"",E46/B46)</f>
        <v>0.0909090909090909</v>
      </c>
    </row>
    <row r="47" customFormat="false" ht="15" hidden="false" customHeight="false" outlineLevel="0" collapsed="false">
      <c r="A47" s="9" t="s">
        <v>47</v>
      </c>
      <c r="B47" s="9" t="n">
        <f aca="false">COUNTIFS(Employee!$R$5:$R$72,"&lt;&gt;",Employee!$B$5:$B$72,"C - Edge")</f>
        <v>10</v>
      </c>
      <c r="C47" s="9" t="n">
        <f aca="false">COUNTIFS(Employee!$R$5:$R$72,"Correct",Employee!$B$5:$B$72,"C - Edge")</f>
        <v>6</v>
      </c>
      <c r="D47" s="9" t="n">
        <f aca="false">COUNTIFS(Employee!$R$5:$R$72,"Safe ask",Employee!$B$5:$B$72,"C - Edge")</f>
        <v>1</v>
      </c>
      <c r="E47" s="9" t="n">
        <f aca="false">COUNTIFS(Employee!$R$5:$R$72,"Silent wrong",Employee!$B$5:$B$72,"C - Edge")</f>
        <v>3</v>
      </c>
      <c r="F47" s="9" t="n">
        <f aca="false">COUNTIFS(Employee!$R$5:$R$72,"Missed",Employee!$B$5:$B$72,"C - Edge")</f>
        <v>0</v>
      </c>
      <c r="G47" s="10" t="n">
        <f aca="false">IF(B47=0,"",C47/B47)</f>
        <v>0.6</v>
      </c>
      <c r="H47" s="10" t="n">
        <f aca="false">IF(B47=0,"",(((C47/B47)+$B$3^2/(2*B47))-($B$3*SQRT((C47/B47)*(1-(C47/B47))/B47+$B$3^2/(4*B47^2))))/(1+$B$3^2/B47))</f>
        <v>0.312669547450186</v>
      </c>
      <c r="I47" s="10" t="n">
        <f aca="false">IF(B47=0,"",(((C47/B47)+$B$3^2/(2*B47))+($B$3*SQRT((C47/B47)*(1-(C47/B47))/B47+$B$3^2/(4*B47^2))))/(1+$B$3^2/B47))</f>
        <v>0.83182241879649</v>
      </c>
      <c r="J47" s="10" t="n">
        <f aca="false">IF(B47=0,"",(C47+D47)/B47)</f>
        <v>0.7</v>
      </c>
      <c r="K47" s="10" t="n">
        <f aca="false">IF(B47=0,"",E47/B47)</f>
        <v>0.3</v>
      </c>
    </row>
    <row r="48" customFormat="false" ht="15" hidden="false" customHeight="false" outlineLevel="0" collapsed="false">
      <c r="A48" s="9" t="s">
        <v>48</v>
      </c>
      <c r="B48" s="9" t="n">
        <f aca="false">COUNTIFS(Employee!$R$5:$R$72,"&lt;&gt;",Employee!$B$5:$B$72,"D - Other business")</f>
        <v>11</v>
      </c>
      <c r="C48" s="9" t="n">
        <f aca="false">COUNTIFS(Employee!$R$5:$R$72,"Correct",Employee!$B$5:$B$72,"D - Other business")</f>
        <v>9</v>
      </c>
      <c r="D48" s="9" t="n">
        <f aca="false">COUNTIFS(Employee!$R$5:$R$72,"Safe ask",Employee!$B$5:$B$72,"D - Other business")</f>
        <v>0</v>
      </c>
      <c r="E48" s="9" t="n">
        <f aca="false">COUNTIFS(Employee!$R$5:$R$72,"Silent wrong",Employee!$B$5:$B$72,"D - Other business")</f>
        <v>1</v>
      </c>
      <c r="F48" s="9" t="n">
        <f aca="false">COUNTIFS(Employee!$R$5:$R$72,"Missed",Employee!$B$5:$B$72,"D - Other business")</f>
        <v>1</v>
      </c>
      <c r="G48" s="10" t="n">
        <f aca="false">IF(B48=0,"",C48/B48)</f>
        <v>0.818181818181818</v>
      </c>
      <c r="H48" s="10" t="n">
        <f aca="false">IF(B48=0,"",(((C48/B48)+$B$3^2/(2*B48))-($B$3*SQRT((C48/B48)*(1-(C48/B48))/B48+$B$3^2/(4*B48^2))))/(1+$B$3^2/B48))</f>
        <v>0.523013862421755</v>
      </c>
      <c r="I48" s="10" t="n">
        <f aca="false">IF(B48=0,"",(((C48/B48)+$B$3^2/(2*B48))+($B$3*SQRT((C48/B48)*(1-(C48/B48))/B48+$B$3^2/(4*B48^2))))/(1+$B$3^2/B48))</f>
        <v>0.948633399328999</v>
      </c>
      <c r="J48" s="10" t="n">
        <f aca="false">IF(B48=0,"",(C48+D48)/B48)</f>
        <v>0.818181818181818</v>
      </c>
      <c r="K48" s="10" t="n">
        <f aca="false">IF(B48=0,"",E48/B48)</f>
        <v>0.0909090909090909</v>
      </c>
    </row>
    <row r="49" customFormat="false" ht="15" hidden="false" customHeight="false" outlineLevel="0" collapsed="false">
      <c r="A49" s="9" t="s">
        <v>49</v>
      </c>
      <c r="B49" s="9" t="n">
        <f aca="false">COUNTIFS(Employee!$R$5:$R$72,"&lt;&gt;",Employee!$B$5:$B$72,"E - Mixed")</f>
        <v>24</v>
      </c>
      <c r="C49" s="9" t="n">
        <f aca="false">COUNTIFS(Employee!$R$5:$R$72,"Correct",Employee!$B$5:$B$72,"E - Mixed")</f>
        <v>24</v>
      </c>
      <c r="D49" s="9" t="n">
        <f aca="false">COUNTIFS(Employee!$R$5:$R$72,"Safe ask",Employee!$B$5:$B$72,"E - Mixed")</f>
        <v>0</v>
      </c>
      <c r="E49" s="9" t="n">
        <f aca="false">COUNTIFS(Employee!$R$5:$R$72,"Silent wrong",Employee!$B$5:$B$72,"E - Mixed")</f>
        <v>0</v>
      </c>
      <c r="F49" s="9" t="n">
        <f aca="false">COUNTIFS(Employee!$R$5:$R$72,"Missed",Employee!$B$5:$B$72,"E - Mixed")</f>
        <v>0</v>
      </c>
      <c r="G49" s="10" t="n">
        <f aca="false">IF(B49=0,"",C49/B49)</f>
        <v>1</v>
      </c>
      <c r="H49" s="10" t="n">
        <f aca="false">IF(B49=0,"",(((C49/B49)+$B$3^2/(2*B49))-($B$3*SQRT((C49/B49)*(1-(C49/B49))/B49+$B$3^2/(4*B49^2))))/(1+$B$3^2/B49))</f>
        <v>0.862019424171025</v>
      </c>
      <c r="I49" s="10" t="n">
        <f aca="false">IF(B49=0,"",(((C49/B49)+$B$3^2/(2*B49))+($B$3*SQRT((C49/B49)*(1-(C49/B49))/B49+$B$3^2/(4*B49^2))))/(1+$B$3^2/B49))</f>
        <v>1</v>
      </c>
      <c r="J49" s="10" t="n">
        <f aca="false">IF(B49=0,"",(C49+D49)/B49)</f>
        <v>1</v>
      </c>
      <c r="K49" s="10" t="n">
        <f aca="false">IF(B49=0,"",E49/B49)</f>
        <v>0</v>
      </c>
    </row>
    <row r="50" customFormat="false" ht="15" hidden="false" customHeight="false" outlineLevel="0" collapsed="false">
      <c r="A50" s="3" t="s">
        <v>50</v>
      </c>
      <c r="B50" s="9" t="n">
        <f aca="false">COUNTIFS(Employee!$R$5:$R$72,"&lt;&gt;")</f>
        <v>66</v>
      </c>
      <c r="C50" s="9" t="n">
        <f aca="false">COUNTIFS(Employee!$R$5:$R$72,"Correct")</f>
        <v>59</v>
      </c>
      <c r="D50" s="9" t="n">
        <f aca="false">COUNTIFS(Employee!$R$5:$R$72,"Safe ask")</f>
        <v>1</v>
      </c>
      <c r="E50" s="9" t="n">
        <f aca="false">COUNTIFS(Employee!$R$5:$R$72,"Silent wrong")</f>
        <v>5</v>
      </c>
      <c r="F50" s="9" t="n">
        <f aca="false">COUNTIFS(Employee!$R$5:$R$72,"Missed")</f>
        <v>1</v>
      </c>
      <c r="G50" s="10" t="n">
        <f aca="false">IF(B50=0,"",C50/B50)</f>
        <v>0.893939393939394</v>
      </c>
      <c r="H50" s="10" t="n">
        <f aca="false">IF(B50=0,"",(((C50/B50)+$B$3^2/(2*B50))-($B$3*SQRT((C50/B50)*(1-(C50/B50))/B50+$B$3^2/(4*B50^2))))/(1+$B$3^2/B50))</f>
        <v>0.796874742611854</v>
      </c>
      <c r="I50" s="10" t="n">
        <f aca="false">IF(B50=0,"",(((C50/B50)+$B$3^2/(2*B50))+($B$3*SQRT((C50/B50)*(1-(C50/B50))/B50+$B$3^2/(4*B50^2))))/(1+$B$3^2/B50))</f>
        <v>0.947667192280818</v>
      </c>
      <c r="J50" s="10" t="n">
        <f aca="false">IF(B50=0,"",(C50+D50)/B50)</f>
        <v>0.909090909090909</v>
      </c>
      <c r="K50" s="10" t="n">
        <f aca="false">IF(B50=0,"",E50/B50)</f>
        <v>0.0757575757575758</v>
      </c>
    </row>
    <row r="53" customFormat="false" ht="15" hidden="false" customHeight="false" outlineLevel="0" collapsed="false">
      <c r="A53" s="7" t="s">
        <v>52</v>
      </c>
    </row>
    <row r="54" customFormat="false" ht="23.85" hidden="false" customHeight="false" outlineLevel="0" collapsed="false">
      <c r="A54" s="8" t="s">
        <v>40</v>
      </c>
      <c r="B54" s="8" t="s">
        <v>9</v>
      </c>
      <c r="C54" s="8" t="s">
        <v>41</v>
      </c>
      <c r="D54" s="8" t="s">
        <v>42</v>
      </c>
      <c r="E54" s="8" t="s">
        <v>43</v>
      </c>
      <c r="F54" s="8" t="s">
        <v>44</v>
      </c>
      <c r="G54" s="8" t="s">
        <v>10</v>
      </c>
      <c r="H54" s="8" t="s">
        <v>11</v>
      </c>
      <c r="I54" s="8" t="s">
        <v>12</v>
      </c>
      <c r="J54" s="8" t="s">
        <v>13</v>
      </c>
      <c r="K54" s="8" t="s">
        <v>14</v>
      </c>
    </row>
    <row r="55" customFormat="false" ht="15" hidden="false" customHeight="false" outlineLevel="0" collapsed="false">
      <c r="A55" s="9" t="s">
        <v>45</v>
      </c>
      <c r="B55" s="9" t="n">
        <f aca="false">COUNTIFS(Customer!$M$5:$M$76,"&lt;&gt;",Customer!$B$5:$B$76,"A - Daily")</f>
        <v>12</v>
      </c>
      <c r="C55" s="9" t="n">
        <f aca="false">COUNTIFS(Customer!$M$5:$M$76,"Correct",Customer!$B$5:$B$76,"A - Daily")</f>
        <v>9</v>
      </c>
      <c r="D55" s="9" t="n">
        <f aca="false">COUNTIFS(Customer!$M$5:$M$76,"Safe ask",Customer!$B$5:$B$76,"A - Daily")</f>
        <v>0</v>
      </c>
      <c r="E55" s="9" t="n">
        <f aca="false">COUNTIFS(Customer!$M$5:$M$76,"Silent wrong",Customer!$B$5:$B$76,"A - Daily")</f>
        <v>1</v>
      </c>
      <c r="F55" s="9" t="n">
        <f aca="false">COUNTIFS(Customer!$M$5:$M$76,"Missed",Customer!$B$5:$B$76,"A - Daily")</f>
        <v>2</v>
      </c>
      <c r="G55" s="10" t="n">
        <f aca="false">IF(B55=0,"",C55/B55)</f>
        <v>0.75</v>
      </c>
      <c r="H55" s="10" t="n">
        <f aca="false">IF(B55=0,"",(((C55/B55)+$B$3^2/(2*B55))-($B$3*SQRT((C55/B55)*(1-(C55/B55))/B55+$B$3^2/(4*B55^2))))/(1+$B$3^2/B55))</f>
        <v>0.46768966087934</v>
      </c>
      <c r="I55" s="10" t="n">
        <f aca="false">IF(B55=0,"",(((C55/B55)+$B$3^2/(2*B55))+($B$3*SQRT((C55/B55)*(1-(C55/B55))/B55+$B$3^2/(4*B55^2))))/(1+$B$3^2/B55))</f>
        <v>0.911059960371039</v>
      </c>
      <c r="J55" s="10" t="n">
        <f aca="false">IF(B55=0,"",(C55+D55)/B55)</f>
        <v>0.75</v>
      </c>
      <c r="K55" s="10" t="n">
        <f aca="false">IF(B55=0,"",E55/B55)</f>
        <v>0.0833333333333333</v>
      </c>
    </row>
    <row r="56" customFormat="false" ht="15" hidden="false" customHeight="false" outlineLevel="0" collapsed="false">
      <c r="A56" s="9" t="s">
        <v>46</v>
      </c>
      <c r="B56" s="9" t="n">
        <f aca="false">COUNTIFS(Customer!$M$5:$M$76,"&lt;&gt;",Customer!$B$5:$B$76,"B - Tricky")</f>
        <v>10</v>
      </c>
      <c r="C56" s="9" t="n">
        <f aca="false">COUNTIFS(Customer!$M$5:$M$76,"Correct",Customer!$B$5:$B$76,"B - Tricky")</f>
        <v>5</v>
      </c>
      <c r="D56" s="9" t="n">
        <f aca="false">COUNTIFS(Customer!$M$5:$M$76,"Safe ask",Customer!$B$5:$B$76,"B - Tricky")</f>
        <v>0</v>
      </c>
      <c r="E56" s="9" t="n">
        <f aca="false">COUNTIFS(Customer!$M$5:$M$76,"Silent wrong",Customer!$B$5:$B$76,"B - Tricky")</f>
        <v>1</v>
      </c>
      <c r="F56" s="9" t="n">
        <f aca="false">COUNTIFS(Customer!$M$5:$M$76,"Missed",Customer!$B$5:$B$76,"B - Tricky")</f>
        <v>4</v>
      </c>
      <c r="G56" s="10" t="n">
        <f aca="false">IF(B56=0,"",C56/B56)</f>
        <v>0.5</v>
      </c>
      <c r="H56" s="10" t="n">
        <f aca="false">IF(B56=0,"",(((C56/B56)+$B$3^2/(2*B56))-($B$3*SQRT((C56/B56)*(1-(C56/B56))/B56+$B$3^2/(4*B56^2))))/(1+$B$3^2/B56))</f>
        <v>0.236589593615487</v>
      </c>
      <c r="I56" s="10" t="n">
        <f aca="false">IF(B56=0,"",(((C56/B56)+$B$3^2/(2*B56))+($B$3*SQRT((C56/B56)*(1-(C56/B56))/B56+$B$3^2/(4*B56^2))))/(1+$B$3^2/B56))</f>
        <v>0.763410406384513</v>
      </c>
      <c r="J56" s="10" t="n">
        <f aca="false">IF(B56=0,"",(C56+D56)/B56)</f>
        <v>0.5</v>
      </c>
      <c r="K56" s="10" t="n">
        <f aca="false">IF(B56=0,"",E56/B56)</f>
        <v>0.1</v>
      </c>
    </row>
    <row r="57" customFormat="false" ht="15" hidden="false" customHeight="false" outlineLevel="0" collapsed="false">
      <c r="A57" s="9" t="s">
        <v>47</v>
      </c>
      <c r="B57" s="9" t="n">
        <f aca="false">COUNTIFS(Customer!$M$5:$M$76,"&lt;&gt;",Customer!$B$5:$B$76,"C - Edge")</f>
        <v>11</v>
      </c>
      <c r="C57" s="9" t="n">
        <f aca="false">COUNTIFS(Customer!$M$5:$M$76,"Correct",Customer!$B$5:$B$76,"C - Edge")</f>
        <v>7</v>
      </c>
      <c r="D57" s="9" t="n">
        <f aca="false">COUNTIFS(Customer!$M$5:$M$76,"Safe ask",Customer!$B$5:$B$76,"C - Edge")</f>
        <v>0</v>
      </c>
      <c r="E57" s="9" t="n">
        <f aca="false">COUNTIFS(Customer!$M$5:$M$76,"Silent wrong",Customer!$B$5:$B$76,"C - Edge")</f>
        <v>3</v>
      </c>
      <c r="F57" s="9" t="n">
        <f aca="false">COUNTIFS(Customer!$M$5:$M$76,"Missed",Customer!$B$5:$B$76,"C - Edge")</f>
        <v>1</v>
      </c>
      <c r="G57" s="10" t="n">
        <f aca="false">IF(B57=0,"",C57/B57)</f>
        <v>0.636363636363636</v>
      </c>
      <c r="H57" s="10" t="n">
        <f aca="false">IF(B57=0,"",(((C57/B57)+$B$3^2/(2*B57))-($B$3*SQRT((C57/B57)*(1-(C57/B57))/B57+$B$3^2/(4*B57^2))))/(1+$B$3^2/B57))</f>
        <v>0.353796776891637</v>
      </c>
      <c r="I57" s="10" t="n">
        <f aca="false">IF(B57=0,"",(((C57/B57)+$B$3^2/(2*B57))+($B$3*SQRT((C57/B57)*(1-(C57/B57))/B57+$B$3^2/(4*B57^2))))/(1+$B$3^2/B57))</f>
        <v>0.848337763858686</v>
      </c>
      <c r="J57" s="10" t="n">
        <f aca="false">IF(B57=0,"",(C57+D57)/B57)</f>
        <v>0.636363636363636</v>
      </c>
      <c r="K57" s="10" t="n">
        <f aca="false">IF(B57=0,"",E57/B57)</f>
        <v>0.272727272727273</v>
      </c>
    </row>
    <row r="58" customFormat="false" ht="15" hidden="false" customHeight="false" outlineLevel="0" collapsed="false">
      <c r="A58" s="9" t="s">
        <v>48</v>
      </c>
      <c r="B58" s="9" t="n">
        <f aca="false">COUNTIFS(Customer!$M$5:$M$76,"&lt;&gt;",Customer!$B$5:$B$76,"D - Other business")</f>
        <v>15</v>
      </c>
      <c r="C58" s="9" t="n">
        <f aca="false">COUNTIFS(Customer!$M$5:$M$76,"Correct",Customer!$B$5:$B$76,"D - Other business")</f>
        <v>4</v>
      </c>
      <c r="D58" s="9" t="n">
        <f aca="false">COUNTIFS(Customer!$M$5:$M$76,"Safe ask",Customer!$B$5:$B$76,"D - Other business")</f>
        <v>0</v>
      </c>
      <c r="E58" s="9" t="n">
        <f aca="false">COUNTIFS(Customer!$M$5:$M$76,"Silent wrong",Customer!$B$5:$B$76,"D - Other business")</f>
        <v>1</v>
      </c>
      <c r="F58" s="9" t="n">
        <f aca="false">COUNTIFS(Customer!$M$5:$M$76,"Missed",Customer!$B$5:$B$76,"D - Other business")</f>
        <v>10</v>
      </c>
      <c r="G58" s="10" t="n">
        <f aca="false">IF(B58=0,"",C58/B58)</f>
        <v>0.266666666666667</v>
      </c>
      <c r="H58" s="10" t="n">
        <f aca="false">IF(B58=0,"",(((C58/B58)+$B$3^2/(2*B58))-($B$3*SQRT((C58/B58)*(1-(C58/B58))/B58+$B$3^2/(4*B58^2))))/(1+$B$3^2/B58))</f>
        <v>0.108972761031828</v>
      </c>
      <c r="I58" s="10" t="n">
        <f aca="false">IF(B58=0,"",(((C58/B58)+$B$3^2/(2*B58))+($B$3*SQRT((C58/B58)*(1-(C58/B58))/B58+$B$3^2/(4*B58^2))))/(1+$B$3^2/B58))</f>
        <v>0.519508896576868</v>
      </c>
      <c r="J58" s="10" t="n">
        <f aca="false">IF(B58=0,"",(C58+D58)/B58)</f>
        <v>0.266666666666667</v>
      </c>
      <c r="K58" s="10" t="n">
        <f aca="false">IF(B58=0,"",E58/B58)</f>
        <v>0.0666666666666667</v>
      </c>
    </row>
    <row r="59" customFormat="false" ht="15" hidden="false" customHeight="false" outlineLevel="0" collapsed="false">
      <c r="A59" s="9" t="s">
        <v>49</v>
      </c>
      <c r="B59" s="9" t="n">
        <f aca="false">COUNTIFS(Customer!$M$5:$M$76,"&lt;&gt;",Customer!$B$5:$B$76,"E - Mixed")</f>
        <v>24</v>
      </c>
      <c r="C59" s="9" t="n">
        <f aca="false">COUNTIFS(Customer!$M$5:$M$76,"Correct",Customer!$B$5:$B$76,"E - Mixed")</f>
        <v>14</v>
      </c>
      <c r="D59" s="9" t="n">
        <f aca="false">COUNTIFS(Customer!$M$5:$M$76,"Safe ask",Customer!$B$5:$B$76,"E - Mixed")</f>
        <v>0</v>
      </c>
      <c r="E59" s="9" t="n">
        <f aca="false">COUNTIFS(Customer!$M$5:$M$76,"Silent wrong",Customer!$B$5:$B$76,"E - Mixed")</f>
        <v>6</v>
      </c>
      <c r="F59" s="9" t="n">
        <f aca="false">COUNTIFS(Customer!$M$5:$M$76,"Missed",Customer!$B$5:$B$76,"E - Mixed")</f>
        <v>4</v>
      </c>
      <c r="G59" s="10" t="n">
        <f aca="false">IF(B59=0,"",C59/B59)</f>
        <v>0.583333333333333</v>
      </c>
      <c r="H59" s="10" t="n">
        <f aca="false">IF(B59=0,"",(((C59/B59)+$B$3^2/(2*B59))-($B$3*SQRT((C59/B59)*(1-(C59/B59))/B59+$B$3^2/(4*B59^2))))/(1+$B$3^2/B59))</f>
        <v>0.388343376493886</v>
      </c>
      <c r="I59" s="10" t="n">
        <f aca="false">IF(B59=0,"",(((C59/B59)+$B$3^2/(2*B59))+($B$3*SQRT((C59/B59)*(1-(C59/B59))/B59+$B$3^2/(4*B59^2))))/(1+$B$3^2/B59))</f>
        <v>0.755326527534618</v>
      </c>
      <c r="J59" s="10" t="n">
        <f aca="false">IF(B59=0,"",(C59+D59)/B59)</f>
        <v>0.583333333333333</v>
      </c>
      <c r="K59" s="10" t="n">
        <f aca="false">IF(B59=0,"",E59/B59)</f>
        <v>0.25</v>
      </c>
    </row>
    <row r="60" customFormat="false" ht="15" hidden="false" customHeight="false" outlineLevel="0" collapsed="false">
      <c r="A60" s="3" t="s">
        <v>50</v>
      </c>
      <c r="B60" s="9" t="n">
        <f aca="false">COUNTIFS(Customer!$M$5:$M$76,"&lt;&gt;")</f>
        <v>72</v>
      </c>
      <c r="C60" s="9" t="n">
        <f aca="false">COUNTIFS(Customer!$M$5:$M$76,"Correct")</f>
        <v>39</v>
      </c>
      <c r="D60" s="9" t="n">
        <f aca="false">COUNTIFS(Customer!$M$5:$M$76,"Safe ask")</f>
        <v>0</v>
      </c>
      <c r="E60" s="9" t="n">
        <f aca="false">COUNTIFS(Customer!$M$5:$M$76,"Silent wrong")</f>
        <v>12</v>
      </c>
      <c r="F60" s="9" t="n">
        <f aca="false">COUNTIFS(Customer!$M$5:$M$76,"Missed")</f>
        <v>21</v>
      </c>
      <c r="G60" s="10" t="n">
        <f aca="false">IF(B60=0,"",C60/B60)</f>
        <v>0.541666666666667</v>
      </c>
      <c r="H60" s="10" t="n">
        <f aca="false">IF(B60=0,"",(((C60/B60)+$B$3^2/(2*B60))-($B$3*SQRT((C60/B60)*(1-(C60/B60))/B60+$B$3^2/(4*B60^2))))/(1+$B$3^2/B60))</f>
        <v>0.427396641967076</v>
      </c>
      <c r="I60" s="10" t="n">
        <f aca="false">IF(B60=0,"",(((C60/B60)+$B$3^2/(2*B60))+($B$3*SQRT((C60/B60)*(1-(C60/B60))/B60+$B$3^2/(4*B60^2))))/(1+$B$3^2/B60))</f>
        <v>0.651715613048641</v>
      </c>
      <c r="J60" s="10" t="n">
        <f aca="false">IF(B60=0,"",(C60+D60)/B60)</f>
        <v>0.541666666666667</v>
      </c>
      <c r="K60" s="10" t="n">
        <f aca="false">IF(B60=0,"",E60/B60)</f>
        <v>0.166666666666667</v>
      </c>
    </row>
    <row r="63" customFormat="false" ht="15" hidden="false" customHeight="false" outlineLevel="0" collapsed="false">
      <c r="A63" s="7" t="s">
        <v>53</v>
      </c>
    </row>
    <row r="64" customFormat="false" ht="23.85" hidden="false" customHeight="false" outlineLevel="0" collapsed="false">
      <c r="A64" s="8" t="s">
        <v>40</v>
      </c>
      <c r="B64" s="8" t="s">
        <v>9</v>
      </c>
      <c r="C64" s="8" t="s">
        <v>41</v>
      </c>
      <c r="D64" s="8" t="s">
        <v>42</v>
      </c>
      <c r="E64" s="8" t="s">
        <v>43</v>
      </c>
      <c r="F64" s="8" t="s">
        <v>44</v>
      </c>
      <c r="G64" s="8" t="s">
        <v>10</v>
      </c>
      <c r="H64" s="8" t="s">
        <v>11</v>
      </c>
      <c r="I64" s="8" t="s">
        <v>12</v>
      </c>
      <c r="J64" s="8" t="s">
        <v>13</v>
      </c>
      <c r="K64" s="8" t="s">
        <v>14</v>
      </c>
    </row>
    <row r="65" customFormat="false" ht="15" hidden="false" customHeight="false" outlineLevel="0" collapsed="false">
      <c r="A65" s="9" t="s">
        <v>45</v>
      </c>
      <c r="B65" s="9" t="n">
        <f aca="false">COUNTIFS(Customer!$P$5:$P$76,"&lt;&gt;",Customer!$B$5:$B$76,"A - Daily")</f>
        <v>12</v>
      </c>
      <c r="C65" s="9" t="n">
        <f aca="false">COUNTIFS(Customer!$P$5:$P$76,"Correct",Customer!$B$5:$B$76,"A - Daily")</f>
        <v>12</v>
      </c>
      <c r="D65" s="9" t="n">
        <f aca="false">COUNTIFS(Customer!$P$5:$P$76,"Safe ask",Customer!$B$5:$B$76,"A - Daily")</f>
        <v>0</v>
      </c>
      <c r="E65" s="9" t="n">
        <f aca="false">COUNTIFS(Customer!$P$5:$P$76,"Silent wrong",Customer!$B$5:$B$76,"A - Daily")</f>
        <v>0</v>
      </c>
      <c r="F65" s="9" t="n">
        <f aca="false">COUNTIFS(Customer!$P$5:$P$76,"Missed",Customer!$B$5:$B$76,"A - Daily")</f>
        <v>0</v>
      </c>
      <c r="G65" s="10" t="n">
        <f aca="false">IF(B65=0,"",C65/B65)</f>
        <v>1</v>
      </c>
      <c r="H65" s="10" t="n">
        <f aca="false">IF(B65=0,"",(((C65/B65)+$B$3^2/(2*B65))-($B$3*SQRT((C65/B65)*(1-(C65/B65))/B65+$B$3^2/(4*B65^2))))/(1+$B$3^2/B65))</f>
        <v>0.757499242500757</v>
      </c>
      <c r="I65" s="10" t="n">
        <f aca="false">IF(B65=0,"",(((C65/B65)+$B$3^2/(2*B65))+($B$3*SQRT((C65/B65)*(1-(C65/B65))/B65+$B$3^2/(4*B65^2))))/(1+$B$3^2/B65))</f>
        <v>1</v>
      </c>
      <c r="J65" s="10" t="n">
        <f aca="false">IF(B65=0,"",(C65+D65)/B65)</f>
        <v>1</v>
      </c>
      <c r="K65" s="10" t="n">
        <f aca="false">IF(B65=0,"",E65/B65)</f>
        <v>0</v>
      </c>
    </row>
    <row r="66" customFormat="false" ht="15" hidden="false" customHeight="false" outlineLevel="0" collapsed="false">
      <c r="A66" s="9" t="s">
        <v>46</v>
      </c>
      <c r="B66" s="9" t="n">
        <f aca="false">COUNTIFS(Customer!$P$5:$P$76,"&lt;&gt;",Customer!$B$5:$B$76,"B - Tricky")</f>
        <v>10</v>
      </c>
      <c r="C66" s="9" t="n">
        <f aca="false">COUNTIFS(Customer!$P$5:$P$76,"Correct",Customer!$B$5:$B$76,"B - Tricky")</f>
        <v>10</v>
      </c>
      <c r="D66" s="9" t="n">
        <f aca="false">COUNTIFS(Customer!$P$5:$P$76,"Safe ask",Customer!$B$5:$B$76,"B - Tricky")</f>
        <v>0</v>
      </c>
      <c r="E66" s="9" t="n">
        <f aca="false">COUNTIFS(Customer!$P$5:$P$76,"Silent wrong",Customer!$B$5:$B$76,"B - Tricky")</f>
        <v>0</v>
      </c>
      <c r="F66" s="9" t="n">
        <f aca="false">COUNTIFS(Customer!$P$5:$P$76,"Missed",Customer!$B$5:$B$76,"B - Tricky")</f>
        <v>0</v>
      </c>
      <c r="G66" s="10" t="n">
        <f aca="false">IF(B66=0,"",C66/B66)</f>
        <v>1</v>
      </c>
      <c r="H66" s="10" t="n">
        <f aca="false">IF(B66=0,"",(((C66/B66)+$B$3^2/(2*B66))-($B$3*SQRT((C66/B66)*(1-(C66/B66))/B66+$B$3^2/(4*B66^2))))/(1+$B$3^2/B66))</f>
        <v>0.722459831233383</v>
      </c>
      <c r="I66" s="10" t="n">
        <f aca="false">IF(B66=0,"",(((C66/B66)+$B$3^2/(2*B66))+($B$3*SQRT((C66/B66)*(1-(C66/B66))/B66+$B$3^2/(4*B66^2))))/(1+$B$3^2/B66))</f>
        <v>1</v>
      </c>
      <c r="J66" s="10" t="n">
        <f aca="false">IF(B66=0,"",(C66+D66)/B66)</f>
        <v>1</v>
      </c>
      <c r="K66" s="10" t="n">
        <f aca="false">IF(B66=0,"",E66/B66)</f>
        <v>0</v>
      </c>
    </row>
    <row r="67" customFormat="false" ht="15" hidden="false" customHeight="false" outlineLevel="0" collapsed="false">
      <c r="A67" s="9" t="s">
        <v>47</v>
      </c>
      <c r="B67" s="9" t="n">
        <f aca="false">COUNTIFS(Customer!$P$5:$P$76,"&lt;&gt;",Customer!$B$5:$B$76,"C - Edge")</f>
        <v>11</v>
      </c>
      <c r="C67" s="9" t="n">
        <f aca="false">COUNTIFS(Customer!$P$5:$P$76,"Correct",Customer!$B$5:$B$76,"C - Edge")</f>
        <v>11</v>
      </c>
      <c r="D67" s="9" t="n">
        <f aca="false">COUNTIFS(Customer!$P$5:$P$76,"Safe ask",Customer!$B$5:$B$76,"C - Edge")</f>
        <v>0</v>
      </c>
      <c r="E67" s="9" t="n">
        <f aca="false">COUNTIFS(Customer!$P$5:$P$76,"Silent wrong",Customer!$B$5:$B$76,"C - Edge")</f>
        <v>0</v>
      </c>
      <c r="F67" s="9" t="n">
        <f aca="false">COUNTIFS(Customer!$P$5:$P$76,"Missed",Customer!$B$5:$B$76,"C - Edge")</f>
        <v>0</v>
      </c>
      <c r="G67" s="10" t="n">
        <f aca="false">IF(B67=0,"",C67/B67)</f>
        <v>1</v>
      </c>
      <c r="H67" s="10" t="n">
        <f aca="false">IF(B67=0,"",(((C67/B67)+$B$3^2/(2*B67))-($B$3*SQRT((C67/B67)*(1-(C67/B67))/B67+$B$3^2/(4*B67^2))))/(1+$B$3^2/B67))</f>
        <v>0.741159982751186</v>
      </c>
      <c r="I67" s="10" t="n">
        <f aca="false">IF(B67=0,"",(((C67/B67)+$B$3^2/(2*B67))+($B$3*SQRT((C67/B67)*(1-(C67/B67))/B67+$B$3^2/(4*B67^2))))/(1+$B$3^2/B67))</f>
        <v>1</v>
      </c>
      <c r="J67" s="10" t="n">
        <f aca="false">IF(B67=0,"",(C67+D67)/B67)</f>
        <v>1</v>
      </c>
      <c r="K67" s="10" t="n">
        <f aca="false">IF(B67=0,"",E67/B67)</f>
        <v>0</v>
      </c>
    </row>
    <row r="68" customFormat="false" ht="15" hidden="false" customHeight="false" outlineLevel="0" collapsed="false">
      <c r="A68" s="9" t="s">
        <v>48</v>
      </c>
      <c r="B68" s="9" t="n">
        <f aca="false">COUNTIFS(Customer!$P$5:$P$76,"&lt;&gt;",Customer!$B$5:$B$76,"D - Other business")</f>
        <v>14</v>
      </c>
      <c r="C68" s="9" t="n">
        <f aca="false">COUNTIFS(Customer!$P$5:$P$76,"Correct",Customer!$B$5:$B$76,"D - Other business")</f>
        <v>14</v>
      </c>
      <c r="D68" s="9" t="n">
        <f aca="false">COUNTIFS(Customer!$P$5:$P$76,"Safe ask",Customer!$B$5:$B$76,"D - Other business")</f>
        <v>0</v>
      </c>
      <c r="E68" s="9" t="n">
        <f aca="false">COUNTIFS(Customer!$P$5:$P$76,"Silent wrong",Customer!$B$5:$B$76,"D - Other business")</f>
        <v>0</v>
      </c>
      <c r="F68" s="9" t="n">
        <f aca="false">COUNTIFS(Customer!$P$5:$P$76,"Missed",Customer!$B$5:$B$76,"D - Other business")</f>
        <v>0</v>
      </c>
      <c r="G68" s="10" t="n">
        <f aca="false">IF(B68=0,"",C68/B68)</f>
        <v>1</v>
      </c>
      <c r="H68" s="10" t="n">
        <f aca="false">IF(B68=0,"",(((C68/B68)+$B$3^2/(2*B68))-($B$3*SQRT((C68/B68)*(1-(C68/B68))/B68+$B$3^2/(4*B68^2))))/(1+$B$3^2/B68))</f>
        <v>0.784682988072819</v>
      </c>
      <c r="I68" s="10" t="n">
        <f aca="false">IF(B68=0,"",(((C68/B68)+$B$3^2/(2*B68))+($B$3*SQRT((C68/B68)*(1-(C68/B68))/B68+$B$3^2/(4*B68^2))))/(1+$B$3^2/B68))</f>
        <v>1</v>
      </c>
      <c r="J68" s="10" t="n">
        <f aca="false">IF(B68=0,"",(C68+D68)/B68)</f>
        <v>1</v>
      </c>
      <c r="K68" s="10" t="n">
        <f aca="false">IF(B68=0,"",E68/B68)</f>
        <v>0</v>
      </c>
    </row>
    <row r="69" customFormat="false" ht="15" hidden="false" customHeight="false" outlineLevel="0" collapsed="false">
      <c r="A69" s="9" t="s">
        <v>49</v>
      </c>
      <c r="B69" s="9" t="n">
        <f aca="false">COUNTIFS(Customer!$P$5:$P$76,"&lt;&gt;",Customer!$B$5:$B$76,"E - Mixed")</f>
        <v>20</v>
      </c>
      <c r="C69" s="9" t="n">
        <f aca="false">COUNTIFS(Customer!$P$5:$P$76,"Correct",Customer!$B$5:$B$76,"E - Mixed")</f>
        <v>17</v>
      </c>
      <c r="D69" s="9" t="n">
        <f aca="false">COUNTIFS(Customer!$P$5:$P$76,"Safe ask",Customer!$B$5:$B$76,"E - Mixed")</f>
        <v>2</v>
      </c>
      <c r="E69" s="9" t="n">
        <f aca="false">COUNTIFS(Customer!$P$5:$P$76,"Silent wrong",Customer!$B$5:$B$76,"E - Mixed")</f>
        <v>1</v>
      </c>
      <c r="F69" s="9" t="n">
        <f aca="false">COUNTIFS(Customer!$P$5:$P$76,"Missed",Customer!$B$5:$B$76,"E - Mixed")</f>
        <v>0</v>
      </c>
      <c r="G69" s="10" t="n">
        <f aca="false">IF(B69=0,"",C69/B69)</f>
        <v>0.85</v>
      </c>
      <c r="H69" s="10" t="n">
        <f aca="false">IF(B69=0,"",(((C69/B69)+$B$3^2/(2*B69))-($B$3*SQRT((C69/B69)*(1-(C69/B69))/B69+$B$3^2/(4*B69^2))))/(1+$B$3^2/B69))</f>
        <v>0.639576704113043</v>
      </c>
      <c r="I69" s="10" t="n">
        <f aca="false">IF(B69=0,"",(((C69/B69)+$B$3^2/(2*B69))+($B$3*SQRT((C69/B69)*(1-(C69/B69))/B69+$B$3^2/(4*B69^2))))/(1+$B$3^2/B69))</f>
        <v>0.947632208040504</v>
      </c>
      <c r="J69" s="10" t="n">
        <f aca="false">IF(B69=0,"",(C69+D69)/B69)</f>
        <v>0.95</v>
      </c>
      <c r="K69" s="10" t="n">
        <f aca="false">IF(B69=0,"",E69/B69)</f>
        <v>0.05</v>
      </c>
    </row>
    <row r="70" customFormat="false" ht="15" hidden="false" customHeight="false" outlineLevel="0" collapsed="false">
      <c r="A70" s="3" t="s">
        <v>50</v>
      </c>
      <c r="B70" s="9" t="n">
        <f aca="false">COUNTIFS(Customer!$P$5:$P$76,"&lt;&gt;")</f>
        <v>67</v>
      </c>
      <c r="C70" s="9" t="n">
        <f aca="false">COUNTIFS(Customer!$P$5:$P$76,"Correct")</f>
        <v>64</v>
      </c>
      <c r="D70" s="9" t="n">
        <f aca="false">COUNTIFS(Customer!$P$5:$P$76,"Safe ask")</f>
        <v>2</v>
      </c>
      <c r="E70" s="9" t="n">
        <f aca="false">COUNTIFS(Customer!$P$5:$P$76,"Silent wrong")</f>
        <v>1</v>
      </c>
      <c r="F70" s="9" t="n">
        <f aca="false">COUNTIFS(Customer!$P$5:$P$76,"Missed")</f>
        <v>0</v>
      </c>
      <c r="G70" s="10" t="n">
        <f aca="false">IF(B70=0,"",C70/B70)</f>
        <v>0.955223880597015</v>
      </c>
      <c r="H70" s="10" t="n">
        <f aca="false">IF(B70=0,"",(((C70/B70)+$B$3^2/(2*B70))-($B$3*SQRT((C70/B70)*(1-(C70/B70))/B70+$B$3^2/(4*B70^2))))/(1+$B$3^2/B70))</f>
        <v>0.876419674894607</v>
      </c>
      <c r="I70" s="10" t="n">
        <f aca="false">IF(B70=0,"",(((C70/B70)+$B$3^2/(2*B70))+($B$3*SQRT((C70/B70)*(1-(C70/B70))/B70+$B$3^2/(4*B70^2))))/(1+$B$3^2/B70))</f>
        <v>0.984656303061848</v>
      </c>
      <c r="J70" s="10" t="n">
        <f aca="false">IF(B70=0,"",(C70+D70)/B70)</f>
        <v>0.985074626865672</v>
      </c>
      <c r="K70" s="10" t="n">
        <f aca="false">IF(B70=0,"",E70/B70)</f>
        <v>0.0149253731343284</v>
      </c>
    </row>
    <row r="73" customFormat="false" ht="15" hidden="false" customHeight="false" outlineLevel="0" collapsed="false">
      <c r="A73" s="7" t="s">
        <v>54</v>
      </c>
    </row>
    <row r="74" customFormat="false" ht="23.85" hidden="false" customHeight="false" outlineLevel="0" collapsed="false">
      <c r="A74" s="8" t="s">
        <v>40</v>
      </c>
      <c r="B74" s="8" t="s">
        <v>9</v>
      </c>
      <c r="C74" s="8" t="s">
        <v>41</v>
      </c>
      <c r="D74" s="8" t="s">
        <v>42</v>
      </c>
      <c r="E74" s="8" t="s">
        <v>43</v>
      </c>
      <c r="F74" s="8" t="s">
        <v>44</v>
      </c>
      <c r="G74" s="8" t="s">
        <v>10</v>
      </c>
      <c r="H74" s="8" t="s">
        <v>11</v>
      </c>
      <c r="I74" s="8" t="s">
        <v>12</v>
      </c>
      <c r="J74" s="8" t="s">
        <v>13</v>
      </c>
      <c r="K74" s="8" t="s">
        <v>14</v>
      </c>
    </row>
    <row r="75" customFormat="false" ht="15" hidden="false" customHeight="false" outlineLevel="0" collapsed="false">
      <c r="A75" s="9" t="s">
        <v>45</v>
      </c>
      <c r="B75" s="9" t="n">
        <f aca="false">COUNTIFS(Supplier!$M$5:$M$91,"&lt;&gt;",Supplier!$B$5:$B$91,"A - Daily")</f>
        <v>22</v>
      </c>
      <c r="C75" s="9" t="n">
        <f aca="false">COUNTIFS(Supplier!$M$5:$M$91,"Correct",Supplier!$B$5:$B$91,"A - Daily")</f>
        <v>14</v>
      </c>
      <c r="D75" s="9" t="n">
        <f aca="false">COUNTIFS(Supplier!$M$5:$M$91,"Safe ask",Supplier!$B$5:$B$91,"A - Daily")</f>
        <v>0</v>
      </c>
      <c r="E75" s="9" t="n">
        <f aca="false">COUNTIFS(Supplier!$M$5:$M$91,"Silent wrong",Supplier!$B$5:$B$91,"A - Daily")</f>
        <v>2</v>
      </c>
      <c r="F75" s="9" t="n">
        <f aca="false">COUNTIFS(Supplier!$M$5:$M$91,"Missed",Supplier!$B$5:$B$91,"A - Daily")</f>
        <v>6</v>
      </c>
      <c r="G75" s="10" t="n">
        <f aca="false">IF(B75=0,"",C75/B75)</f>
        <v>0.636363636363636</v>
      </c>
      <c r="H75" s="10" t="n">
        <f aca="false">IF(B75=0,"",(((C75/B75)+$B$3^2/(2*B75))-($B$3*SQRT((C75/B75)*(1-(C75/B75))/B75+$B$3^2/(4*B75^2))))/(1+$B$3^2/B75))</f>
        <v>0.42951349343718</v>
      </c>
      <c r="I75" s="10" t="n">
        <f aca="false">IF(B75=0,"",(((C75/B75)+$B$3^2/(2*B75))+($B$3*SQRT((C75/B75)*(1-(C75/B75))/B75+$B$3^2/(4*B75^2))))/(1+$B$3^2/B75))</f>
        <v>0.802670272273921</v>
      </c>
      <c r="J75" s="10" t="n">
        <f aca="false">IF(B75=0,"",(C75+D75)/B75)</f>
        <v>0.636363636363636</v>
      </c>
      <c r="K75" s="10" t="n">
        <f aca="false">IF(B75=0,"",E75/B75)</f>
        <v>0.0909090909090909</v>
      </c>
    </row>
    <row r="76" customFormat="false" ht="15" hidden="false" customHeight="false" outlineLevel="0" collapsed="false">
      <c r="A76" s="9" t="s">
        <v>46</v>
      </c>
      <c r="B76" s="9" t="n">
        <f aca="false">COUNTIFS(Supplier!$M$5:$M$91,"&lt;&gt;",Supplier!$B$5:$B$91,"B - Tricky")</f>
        <v>17</v>
      </c>
      <c r="C76" s="9" t="n">
        <f aca="false">COUNTIFS(Supplier!$M$5:$M$91,"Correct",Supplier!$B$5:$B$91,"B - Tricky")</f>
        <v>10</v>
      </c>
      <c r="D76" s="9" t="n">
        <f aca="false">COUNTIFS(Supplier!$M$5:$M$91,"Safe ask",Supplier!$B$5:$B$91,"B - Tricky")</f>
        <v>0</v>
      </c>
      <c r="E76" s="9" t="n">
        <f aca="false">COUNTIFS(Supplier!$M$5:$M$91,"Silent wrong",Supplier!$B$5:$B$91,"B - Tricky")</f>
        <v>3</v>
      </c>
      <c r="F76" s="9" t="n">
        <f aca="false">COUNTIFS(Supplier!$M$5:$M$91,"Missed",Supplier!$B$5:$B$91,"B - Tricky")</f>
        <v>4</v>
      </c>
      <c r="G76" s="10" t="n">
        <f aca="false">IF(B76=0,"",C76/B76)</f>
        <v>0.588235294117647</v>
      </c>
      <c r="H76" s="10" t="n">
        <f aca="false">IF(B76=0,"",(((C76/B76)+$B$3^2/(2*B76))-($B$3*SQRT((C76/B76)*(1-(C76/B76))/B76+$B$3^2/(4*B76^2))))/(1+$B$3^2/B76))</f>
        <v>0.360050743855155</v>
      </c>
      <c r="I76" s="10" t="n">
        <f aca="false">IF(B76=0,"",(((C76/B76)+$B$3^2/(2*B76))+($B$3*SQRT((C76/B76)*(1-(C76/B76))/B76+$B$3^2/(4*B76^2))))/(1+$B$3^2/B76))</f>
        <v>0.783892139608686</v>
      </c>
      <c r="J76" s="10" t="n">
        <f aca="false">IF(B76=0,"",(C76+D76)/B76)</f>
        <v>0.588235294117647</v>
      </c>
      <c r="K76" s="10" t="n">
        <f aca="false">IF(B76=0,"",E76/B76)</f>
        <v>0.176470588235294</v>
      </c>
    </row>
    <row r="77" customFormat="false" ht="15" hidden="false" customHeight="false" outlineLevel="0" collapsed="false">
      <c r="A77" s="9" t="s">
        <v>47</v>
      </c>
      <c r="B77" s="9" t="n">
        <f aca="false">COUNTIFS(Supplier!$M$5:$M$91,"&lt;&gt;",Supplier!$B$5:$B$91,"C - Edge")</f>
        <v>11</v>
      </c>
      <c r="C77" s="9" t="n">
        <f aca="false">COUNTIFS(Supplier!$M$5:$M$91,"Correct",Supplier!$B$5:$B$91,"C - Edge")</f>
        <v>4</v>
      </c>
      <c r="D77" s="9" t="n">
        <f aca="false">COUNTIFS(Supplier!$M$5:$M$91,"Safe ask",Supplier!$B$5:$B$91,"C - Edge")</f>
        <v>0</v>
      </c>
      <c r="E77" s="9" t="n">
        <f aca="false">COUNTIFS(Supplier!$M$5:$M$91,"Silent wrong",Supplier!$B$5:$B$91,"C - Edge")</f>
        <v>2</v>
      </c>
      <c r="F77" s="9" t="n">
        <f aca="false">COUNTIFS(Supplier!$M$5:$M$91,"Missed",Supplier!$B$5:$B$91,"C - Edge")</f>
        <v>5</v>
      </c>
      <c r="G77" s="10" t="n">
        <f aca="false">IF(B77=0,"",C77/B77)</f>
        <v>0.363636363636364</v>
      </c>
      <c r="H77" s="10" t="n">
        <f aca="false">IF(B77=0,"",(((C77/B77)+$B$3^2/(2*B77))-($B$3*SQRT((C77/B77)*(1-(C77/B77))/B77+$B$3^2/(4*B77^2))))/(1+$B$3^2/B77))</f>
        <v>0.151662236141314</v>
      </c>
      <c r="I77" s="10" t="n">
        <f aca="false">IF(B77=0,"",(((C77/B77)+$B$3^2/(2*B77))+($B$3*SQRT((C77/B77)*(1-(C77/B77))/B77+$B$3^2/(4*B77^2))))/(1+$B$3^2/B77))</f>
        <v>0.646203223108363</v>
      </c>
      <c r="J77" s="10" t="n">
        <f aca="false">IF(B77=0,"",(C77+D77)/B77)</f>
        <v>0.363636363636364</v>
      </c>
      <c r="K77" s="10" t="n">
        <f aca="false">IF(B77=0,"",E77/B77)</f>
        <v>0.181818181818182</v>
      </c>
    </row>
    <row r="78" customFormat="false" ht="15" hidden="false" customHeight="false" outlineLevel="0" collapsed="false">
      <c r="A78" s="9" t="s">
        <v>48</v>
      </c>
      <c r="B78" s="9" t="n">
        <f aca="false">COUNTIFS(Supplier!$M$5:$M$91,"&lt;&gt;",Supplier!$B$5:$B$91,"D - Other business")</f>
        <v>12</v>
      </c>
      <c r="C78" s="9" t="n">
        <f aca="false">COUNTIFS(Supplier!$M$5:$M$91,"Correct",Supplier!$B$5:$B$91,"D - Other business")</f>
        <v>1</v>
      </c>
      <c r="D78" s="9" t="n">
        <f aca="false">COUNTIFS(Supplier!$M$5:$M$91,"Safe ask",Supplier!$B$5:$B$91,"D - Other business")</f>
        <v>2</v>
      </c>
      <c r="E78" s="9" t="n">
        <f aca="false">COUNTIFS(Supplier!$M$5:$M$91,"Silent wrong",Supplier!$B$5:$B$91,"D - Other business")</f>
        <v>3</v>
      </c>
      <c r="F78" s="9" t="n">
        <f aca="false">COUNTIFS(Supplier!$M$5:$M$91,"Missed",Supplier!$B$5:$B$91,"D - Other business")</f>
        <v>6</v>
      </c>
      <c r="G78" s="10" t="n">
        <f aca="false">IF(B78=0,"",C78/B78)</f>
        <v>0.0833333333333333</v>
      </c>
      <c r="H78" s="10" t="n">
        <f aca="false">IF(B78=0,"",(((C78/B78)+$B$3^2/(2*B78))-($B$3*SQRT((C78/B78)*(1-(C78/B78))/B78+$B$3^2/(4*B78^2))))/(1+$B$3^2/B78))</f>
        <v>0.0148647094507735</v>
      </c>
      <c r="I78" s="10" t="n">
        <f aca="false">IF(B78=0,"",(((C78/B78)+$B$3^2/(2*B78))+($B$3*SQRT((C78/B78)*(1-(C78/B78))/B78+$B$3^2/(4*B78^2))))/(1+$B$3^2/B78))</f>
        <v>0.353885921798595</v>
      </c>
      <c r="J78" s="10" t="n">
        <f aca="false">IF(B78=0,"",(C78+D78)/B78)</f>
        <v>0.25</v>
      </c>
      <c r="K78" s="10" t="n">
        <f aca="false">IF(B78=0,"",E78/B78)</f>
        <v>0.25</v>
      </c>
    </row>
    <row r="79" customFormat="false" ht="15" hidden="false" customHeight="false" outlineLevel="0" collapsed="false">
      <c r="A79" s="9" t="s">
        <v>49</v>
      </c>
      <c r="B79" s="9" t="n">
        <f aca="false">COUNTIFS(Supplier!$M$5:$M$91,"&lt;&gt;",Supplier!$B$5:$B$91,"E - Mixed")</f>
        <v>24</v>
      </c>
      <c r="C79" s="9" t="n">
        <f aca="false">COUNTIFS(Supplier!$M$5:$M$91,"Correct",Supplier!$B$5:$B$91,"E - Mixed")</f>
        <v>15</v>
      </c>
      <c r="D79" s="9" t="n">
        <f aca="false">COUNTIFS(Supplier!$M$5:$M$91,"Safe ask",Supplier!$B$5:$B$91,"E - Mixed")</f>
        <v>4</v>
      </c>
      <c r="E79" s="9" t="n">
        <f aca="false">COUNTIFS(Supplier!$M$5:$M$91,"Silent wrong",Supplier!$B$5:$B$91,"E - Mixed")</f>
        <v>3</v>
      </c>
      <c r="F79" s="9" t="n">
        <f aca="false">COUNTIFS(Supplier!$M$5:$M$91,"Missed",Supplier!$B$5:$B$91,"E - Mixed")</f>
        <v>2</v>
      </c>
      <c r="G79" s="10" t="n">
        <f aca="false">IF(B79=0,"",C79/B79)</f>
        <v>0.625</v>
      </c>
      <c r="H79" s="10" t="n">
        <f aca="false">IF(B79=0,"",(((C79/B79)+$B$3^2/(2*B79))-($B$3*SQRT((C79/B79)*(1-(C79/B79))/B79+$B$3^2/(4*B79^2))))/(1+$B$3^2/B79))</f>
        <v>0.427096190379071</v>
      </c>
      <c r="I79" s="10" t="n">
        <f aca="false">IF(B79=0,"",(((C79/B79)+$B$3^2/(2*B79))+($B$3*SQRT((C79/B79)*(1-(C79/B79))/B79+$B$3^2/(4*B79^2))))/(1+$B$3^2/B79))</f>
        <v>0.788408665663686</v>
      </c>
      <c r="J79" s="10" t="n">
        <f aca="false">IF(B79=0,"",(C79+D79)/B79)</f>
        <v>0.791666666666667</v>
      </c>
      <c r="K79" s="10" t="n">
        <f aca="false">IF(B79=0,"",E79/B79)</f>
        <v>0.125</v>
      </c>
    </row>
    <row r="80" customFormat="false" ht="15" hidden="false" customHeight="false" outlineLevel="0" collapsed="false">
      <c r="A80" s="3" t="s">
        <v>50</v>
      </c>
      <c r="B80" s="9" t="n">
        <f aca="false">COUNTIFS(Supplier!$M$5:$M$91,"&lt;&gt;")</f>
        <v>86</v>
      </c>
      <c r="C80" s="9" t="n">
        <f aca="false">COUNTIFS(Supplier!$M$5:$M$91,"Correct")</f>
        <v>44</v>
      </c>
      <c r="D80" s="9" t="n">
        <f aca="false">COUNTIFS(Supplier!$M$5:$M$91,"Safe ask")</f>
        <v>6</v>
      </c>
      <c r="E80" s="9" t="n">
        <f aca="false">COUNTIFS(Supplier!$M$5:$M$91,"Silent wrong")</f>
        <v>13</v>
      </c>
      <c r="F80" s="9" t="n">
        <f aca="false">COUNTIFS(Supplier!$M$5:$M$91,"Missed")</f>
        <v>23</v>
      </c>
      <c r="G80" s="10" t="n">
        <f aca="false">IF(B80=0,"",C80/B80)</f>
        <v>0.511627906976744</v>
      </c>
      <c r="H80" s="10" t="n">
        <f aca="false">IF(B80=0,"",(((C80/B80)+$B$3^2/(2*B80))-($B$3*SQRT((C80/B80)*(1-(C80/B80))/B80+$B$3^2/(4*B80^2))))/(1+$B$3^2/B80))</f>
        <v>0.40776537267247</v>
      </c>
      <c r="I80" s="10" t="n">
        <f aca="false">IF(B80=0,"",(((C80/B80)+$B$3^2/(2*B80))+($B$3*SQRT((C80/B80)*(1-(C80/B80))/B80+$B$3^2/(4*B80^2))))/(1+$B$3^2/B80))</f>
        <v>0.614496029617783</v>
      </c>
      <c r="J80" s="10" t="n">
        <f aca="false">IF(B80=0,"",(C80+D80)/B80)</f>
        <v>0.581395348837209</v>
      </c>
      <c r="K80" s="10" t="n">
        <f aca="false">IF(B80=0,"",E80/B80)</f>
        <v>0.151162790697674</v>
      </c>
    </row>
    <row r="83" customFormat="false" ht="15" hidden="false" customHeight="false" outlineLevel="0" collapsed="false">
      <c r="A83" s="7" t="s">
        <v>55</v>
      </c>
    </row>
    <row r="84" customFormat="false" ht="23.85" hidden="false" customHeight="false" outlineLevel="0" collapsed="false">
      <c r="A84" s="8" t="s">
        <v>40</v>
      </c>
      <c r="B84" s="8" t="s">
        <v>9</v>
      </c>
      <c r="C84" s="8" t="s">
        <v>41</v>
      </c>
      <c r="D84" s="8" t="s">
        <v>42</v>
      </c>
      <c r="E84" s="8" t="s">
        <v>43</v>
      </c>
      <c r="F84" s="8" t="s">
        <v>44</v>
      </c>
      <c r="G84" s="8" t="s">
        <v>10</v>
      </c>
      <c r="H84" s="8" t="s">
        <v>11</v>
      </c>
      <c r="I84" s="8" t="s">
        <v>12</v>
      </c>
      <c r="J84" s="8" t="s">
        <v>13</v>
      </c>
      <c r="K84" s="8" t="s">
        <v>14</v>
      </c>
    </row>
    <row r="85" customFormat="false" ht="15" hidden="false" customHeight="false" outlineLevel="0" collapsed="false">
      <c r="A85" s="9" t="s">
        <v>45</v>
      </c>
      <c r="B85" s="9" t="n">
        <f aca="false">COUNTIFS(Supplier!$P$5:$P$91,"&lt;&gt;",Supplier!$B$5:$B$91,"A - Daily")</f>
        <v>21</v>
      </c>
      <c r="C85" s="9" t="n">
        <f aca="false">COUNTIFS(Supplier!$P$5:$P$91,"Correct",Supplier!$B$5:$B$91,"A - Daily")</f>
        <v>20</v>
      </c>
      <c r="D85" s="9" t="n">
        <f aca="false">COUNTIFS(Supplier!$P$5:$P$91,"Safe ask",Supplier!$B$5:$B$91,"A - Daily")</f>
        <v>0</v>
      </c>
      <c r="E85" s="9" t="n">
        <f aca="false">COUNTIFS(Supplier!$P$5:$P$91,"Silent wrong",Supplier!$B$5:$B$91,"A - Daily")</f>
        <v>1</v>
      </c>
      <c r="F85" s="9" t="n">
        <f aca="false">COUNTIFS(Supplier!$P$5:$P$91,"Missed",Supplier!$B$5:$B$91,"A - Daily")</f>
        <v>0</v>
      </c>
      <c r="G85" s="10" t="n">
        <f aca="false">IF(B85=0,"",C85/B85)</f>
        <v>0.952380952380952</v>
      </c>
      <c r="H85" s="10" t="n">
        <f aca="false">IF(B85=0,"",(((C85/B85)+$B$3^2/(2*B85))-($B$3*SQRT((C85/B85)*(1-(C85/B85))/B85+$B$3^2/(4*B85^2))))/(1+$B$3^2/B85))</f>
        <v>0.773301834137645</v>
      </c>
      <c r="I85" s="10" t="n">
        <f aca="false">IF(B85=0,"",(((C85/B85)+$B$3^2/(2*B85))+($B$3*SQRT((C85/B85)*(1-(C85/B85))/B85+$B$3^2/(4*B85^2))))/(1+$B$3^2/B85))</f>
        <v>0.991544230528077</v>
      </c>
      <c r="J85" s="10" t="n">
        <f aca="false">IF(B85=0,"",(C85+D85)/B85)</f>
        <v>0.952380952380952</v>
      </c>
      <c r="K85" s="10" t="n">
        <f aca="false">IF(B85=0,"",E85/B85)</f>
        <v>0.0476190476190476</v>
      </c>
    </row>
    <row r="86" customFormat="false" ht="15" hidden="false" customHeight="false" outlineLevel="0" collapsed="false">
      <c r="A86" s="9" t="s">
        <v>46</v>
      </c>
      <c r="B86" s="9" t="n">
        <f aca="false">COUNTIFS(Supplier!$P$5:$P$91,"&lt;&gt;",Supplier!$B$5:$B$91,"B - Tricky")</f>
        <v>15</v>
      </c>
      <c r="C86" s="9" t="n">
        <f aca="false">COUNTIFS(Supplier!$P$5:$P$91,"Correct",Supplier!$B$5:$B$91,"B - Tricky")</f>
        <v>11</v>
      </c>
      <c r="D86" s="9" t="n">
        <f aca="false">COUNTIFS(Supplier!$P$5:$P$91,"Safe ask",Supplier!$B$5:$B$91,"B - Tricky")</f>
        <v>0</v>
      </c>
      <c r="E86" s="9" t="n">
        <f aca="false">COUNTIFS(Supplier!$P$5:$P$91,"Silent wrong",Supplier!$B$5:$B$91,"B - Tricky")</f>
        <v>3</v>
      </c>
      <c r="F86" s="9" t="n">
        <f aca="false">COUNTIFS(Supplier!$P$5:$P$91,"Missed",Supplier!$B$5:$B$91,"B - Tricky")</f>
        <v>1</v>
      </c>
      <c r="G86" s="10" t="n">
        <f aca="false">IF(B86=0,"",C86/B86)</f>
        <v>0.733333333333333</v>
      </c>
      <c r="H86" s="10" t="n">
        <f aca="false">IF(B86=0,"",(((C86/B86)+$B$3^2/(2*B86))-($B$3*SQRT((C86/B86)*(1-(C86/B86))/B86+$B$3^2/(4*B86^2))))/(1+$B$3^2/B86))</f>
        <v>0.480491103423132</v>
      </c>
      <c r="I86" s="10" t="n">
        <f aca="false">IF(B86=0,"",(((C86/B86)+$B$3^2/(2*B86))+($B$3*SQRT((C86/B86)*(1-(C86/B86))/B86+$B$3^2/(4*B86^2))))/(1+$B$3^2/B86))</f>
        <v>0.891027238968172</v>
      </c>
      <c r="J86" s="10" t="n">
        <f aca="false">IF(B86=0,"",(C86+D86)/B86)</f>
        <v>0.733333333333333</v>
      </c>
      <c r="K86" s="10" t="n">
        <f aca="false">IF(B86=0,"",E86/B86)</f>
        <v>0.2</v>
      </c>
    </row>
    <row r="87" customFormat="false" ht="15" hidden="false" customHeight="false" outlineLevel="0" collapsed="false">
      <c r="A87" s="9" t="s">
        <v>47</v>
      </c>
      <c r="B87" s="9" t="n">
        <f aca="false">COUNTIFS(Supplier!$P$5:$P$91,"&lt;&gt;",Supplier!$B$5:$B$91,"C - Edge")</f>
        <v>10</v>
      </c>
      <c r="C87" s="9" t="n">
        <f aca="false">COUNTIFS(Supplier!$P$5:$P$91,"Correct",Supplier!$B$5:$B$91,"C - Edge")</f>
        <v>9</v>
      </c>
      <c r="D87" s="9" t="n">
        <f aca="false">COUNTIFS(Supplier!$P$5:$P$91,"Safe ask",Supplier!$B$5:$B$91,"C - Edge")</f>
        <v>1</v>
      </c>
      <c r="E87" s="9" t="n">
        <f aca="false">COUNTIFS(Supplier!$P$5:$P$91,"Silent wrong",Supplier!$B$5:$B$91,"C - Edge")</f>
        <v>0</v>
      </c>
      <c r="F87" s="9" t="n">
        <f aca="false">COUNTIFS(Supplier!$P$5:$P$91,"Missed",Supplier!$B$5:$B$91,"C - Edge")</f>
        <v>0</v>
      </c>
      <c r="G87" s="10" t="n">
        <f aca="false">IF(B87=0,"",C87/B87)</f>
        <v>0.9</v>
      </c>
      <c r="H87" s="10" t="n">
        <f aca="false">IF(B87=0,"",(((C87/B87)+$B$3^2/(2*B87))-($B$3*SQRT((C87/B87)*(1-(C87/B87))/B87+$B$3^2/(4*B87^2))))/(1+$B$3^2/B87))</f>
        <v>0.595843614502428</v>
      </c>
      <c r="I87" s="10" t="n">
        <f aca="false">IF(B87=0,"",(((C87/B87)+$B$3^2/(2*B87))+($B$3*SQRT((C87/B87)*(1-(C87/B87))/B87+$B$3^2/(4*B87^2))))/(1+$B$3^2/B87))</f>
        <v>0.982124250484279</v>
      </c>
      <c r="J87" s="10" t="n">
        <f aca="false">IF(B87=0,"",(C87+D87)/B87)</f>
        <v>1</v>
      </c>
      <c r="K87" s="10" t="n">
        <f aca="false">IF(B87=0,"",E87/B87)</f>
        <v>0</v>
      </c>
    </row>
    <row r="88" customFormat="false" ht="15" hidden="false" customHeight="false" outlineLevel="0" collapsed="false">
      <c r="A88" s="9" t="s">
        <v>48</v>
      </c>
      <c r="B88" s="9" t="n">
        <f aca="false">COUNTIFS(Supplier!$P$5:$P$91,"&lt;&gt;",Supplier!$B$5:$B$91,"D - Other business")</f>
        <v>12</v>
      </c>
      <c r="C88" s="9" t="n">
        <f aca="false">COUNTIFS(Supplier!$P$5:$P$91,"Correct",Supplier!$B$5:$B$91,"D - Other business")</f>
        <v>10</v>
      </c>
      <c r="D88" s="9" t="n">
        <f aca="false">COUNTIFS(Supplier!$P$5:$P$91,"Safe ask",Supplier!$B$5:$B$91,"D - Other business")</f>
        <v>0</v>
      </c>
      <c r="E88" s="9" t="n">
        <f aca="false">COUNTIFS(Supplier!$P$5:$P$91,"Silent wrong",Supplier!$B$5:$B$91,"D - Other business")</f>
        <v>2</v>
      </c>
      <c r="F88" s="9" t="n">
        <f aca="false">COUNTIFS(Supplier!$P$5:$P$91,"Missed",Supplier!$B$5:$B$91,"D - Other business")</f>
        <v>0</v>
      </c>
      <c r="G88" s="10" t="n">
        <f aca="false">IF(B88=0,"",C88/B88)</f>
        <v>0.833333333333333</v>
      </c>
      <c r="H88" s="10" t="n">
        <f aca="false">IF(B88=0,"",(((C88/B88)+$B$3^2/(2*B88))-($B$3*SQRT((C88/B88)*(1-(C88/B88))/B88+$B$3^2/(4*B88^2))))/(1+$B$3^2/B88))</f>
        <v>0.551963642615327</v>
      </c>
      <c r="I88" s="10" t="n">
        <f aca="false">IF(B88=0,"",(((C88/B88)+$B$3^2/(2*B88))+($B$3*SQRT((C88/B88)*(1-(C88/B88))/B88+$B$3^2/(4*B88^2))))/(1+$B$3^2/B88))</f>
        <v>0.953035852385178</v>
      </c>
      <c r="J88" s="10" t="n">
        <f aca="false">IF(B88=0,"",(C88+D88)/B88)</f>
        <v>0.833333333333333</v>
      </c>
      <c r="K88" s="10" t="n">
        <f aca="false">IF(B88=0,"",E88/B88)</f>
        <v>0.166666666666667</v>
      </c>
    </row>
    <row r="89" customFormat="false" ht="15" hidden="false" customHeight="false" outlineLevel="0" collapsed="false">
      <c r="A89" s="9" t="s">
        <v>49</v>
      </c>
      <c r="B89" s="9" t="n">
        <f aca="false">COUNTIFS(Supplier!$P$5:$P$91,"&lt;&gt;",Supplier!$B$5:$B$91,"E - Mixed")</f>
        <v>24</v>
      </c>
      <c r="C89" s="9" t="n">
        <f aca="false">COUNTIFS(Supplier!$P$5:$P$91,"Correct",Supplier!$B$5:$B$91,"E - Mixed")</f>
        <v>20</v>
      </c>
      <c r="D89" s="9" t="n">
        <f aca="false">COUNTIFS(Supplier!$P$5:$P$91,"Safe ask",Supplier!$B$5:$B$91,"E - Mixed")</f>
        <v>2</v>
      </c>
      <c r="E89" s="9" t="n">
        <f aca="false">COUNTIFS(Supplier!$P$5:$P$91,"Silent wrong",Supplier!$B$5:$B$91,"E - Mixed")</f>
        <v>1</v>
      </c>
      <c r="F89" s="9" t="n">
        <f aca="false">COUNTIFS(Supplier!$P$5:$P$91,"Missed",Supplier!$B$5:$B$91,"E - Mixed")</f>
        <v>1</v>
      </c>
      <c r="G89" s="10" t="n">
        <f aca="false">IF(B89=0,"",C89/B89)</f>
        <v>0.833333333333333</v>
      </c>
      <c r="H89" s="10" t="n">
        <f aca="false">IF(B89=0,"",(((C89/B89)+$B$3^2/(2*B89))-($B$3*SQRT((C89/B89)*(1-(C89/B89))/B89+$B$3^2/(4*B89^2))))/(1+$B$3^2/B89))</f>
        <v>0.641465296121306</v>
      </c>
      <c r="I89" s="10" t="n">
        <f aca="false">IF(B89=0,"",(((C89/B89)+$B$3^2/(2*B89))+($B$3*SQRT((C89/B89)*(1-(C89/B89))/B89+$B$3^2/(4*B89^2))))/(1+$B$3^2/B89))</f>
        <v>0.933214319992711</v>
      </c>
      <c r="J89" s="10" t="n">
        <f aca="false">IF(B89=0,"",(C89+D89)/B89)</f>
        <v>0.916666666666667</v>
      </c>
      <c r="K89" s="10" t="n">
        <f aca="false">IF(B89=0,"",E89/B89)</f>
        <v>0.0416666666666667</v>
      </c>
    </row>
    <row r="90" customFormat="false" ht="15" hidden="false" customHeight="false" outlineLevel="0" collapsed="false">
      <c r="A90" s="3" t="s">
        <v>50</v>
      </c>
      <c r="B90" s="9" t="n">
        <f aca="false">COUNTIFS(Supplier!$P$5:$P$91,"&lt;&gt;")</f>
        <v>82</v>
      </c>
      <c r="C90" s="9" t="n">
        <f aca="false">COUNTIFS(Supplier!$P$5:$P$91,"Correct")</f>
        <v>70</v>
      </c>
      <c r="D90" s="9" t="n">
        <f aca="false">COUNTIFS(Supplier!$P$5:$P$91,"Safe ask")</f>
        <v>3</v>
      </c>
      <c r="E90" s="9" t="n">
        <f aca="false">COUNTIFS(Supplier!$P$5:$P$91,"Silent wrong")</f>
        <v>7</v>
      </c>
      <c r="F90" s="9" t="n">
        <f aca="false">COUNTIFS(Supplier!$P$5:$P$91,"Missed")</f>
        <v>2</v>
      </c>
      <c r="G90" s="10" t="n">
        <f aca="false">IF(B90=0,"",C90/B90)</f>
        <v>0.853658536585366</v>
      </c>
      <c r="H90" s="10" t="n">
        <f aca="false">IF(B90=0,"",(((C90/B90)+$B$3^2/(2*B90))-($B$3*SQRT((C90/B90)*(1-(C90/B90))/B90+$B$3^2/(4*B90^2))))/(1+$B$3^2/B90))</f>
        <v>0.761403860428778</v>
      </c>
      <c r="I90" s="10" t="n">
        <f aca="false">IF(B90=0,"",(((C90/B90)+$B$3^2/(2*B90))+($B$3*SQRT((C90/B90)*(1-(C90/B90))/B90+$B$3^2/(4*B90^2))))/(1+$B$3^2/B90))</f>
        <v>0.914259221340434</v>
      </c>
      <c r="J90" s="10" t="n">
        <f aca="false">IF(B90=0,"",(C90+D90)/B90)</f>
        <v>0.890243902439024</v>
      </c>
      <c r="K90" s="10" t="n">
        <f aca="false">IF(B90=0,"",E90/B90)</f>
        <v>0.0853658536585366</v>
      </c>
    </row>
    <row r="93" customFormat="false" ht="15" hidden="false" customHeight="false" outlineLevel="0" collapsed="false">
      <c r="A93" s="7" t="s">
        <v>56</v>
      </c>
    </row>
    <row r="94" customFormat="false" ht="23.85" hidden="false" customHeight="false" outlineLevel="0" collapsed="false">
      <c r="A94" s="8" t="s">
        <v>40</v>
      </c>
      <c r="B94" s="8" t="s">
        <v>9</v>
      </c>
      <c r="C94" s="8" t="s">
        <v>41</v>
      </c>
      <c r="D94" s="8" t="s">
        <v>42</v>
      </c>
      <c r="E94" s="8" t="s">
        <v>43</v>
      </c>
      <c r="F94" s="8" t="s">
        <v>44</v>
      </c>
      <c r="G94" s="8" t="s">
        <v>10</v>
      </c>
      <c r="H94" s="8" t="s">
        <v>11</v>
      </c>
      <c r="I94" s="8" t="s">
        <v>12</v>
      </c>
      <c r="J94" s="8" t="s">
        <v>13</v>
      </c>
      <c r="K94" s="8" t="s">
        <v>14</v>
      </c>
    </row>
    <row r="95" customFormat="false" ht="15" hidden="false" customHeight="false" outlineLevel="0" collapsed="false">
      <c r="A95" s="9" t="s">
        <v>45</v>
      </c>
      <c r="B95" s="9" t="n">
        <f aca="false">COUNTIFS(Expense!$M$5:$M$113,"&lt;&gt;",Expense!$B$5:$B$113,"A - Daily")</f>
        <v>20</v>
      </c>
      <c r="C95" s="9" t="n">
        <f aca="false">COUNTIFS(Expense!$M$5:$M$113,"Correct",Expense!$B$5:$B$113,"A - Daily")</f>
        <v>11</v>
      </c>
      <c r="D95" s="9" t="n">
        <f aca="false">COUNTIFS(Expense!$M$5:$M$113,"Safe ask",Expense!$B$5:$B$113,"A - Daily")</f>
        <v>0</v>
      </c>
      <c r="E95" s="9" t="n">
        <f aca="false">COUNTIFS(Expense!$M$5:$M$113,"Silent wrong",Expense!$B$5:$B$113,"A - Daily")</f>
        <v>1</v>
      </c>
      <c r="F95" s="9" t="n">
        <f aca="false">COUNTIFS(Expense!$M$5:$M$113,"Missed",Expense!$B$5:$B$113,"A - Daily")</f>
        <v>8</v>
      </c>
      <c r="G95" s="10" t="n">
        <f aca="false">IF(B95=0,"",C95/B95)</f>
        <v>0.55</v>
      </c>
      <c r="H95" s="10" t="n">
        <f aca="false">IF(B95=0,"",(((C95/B95)+$B$3^2/(2*B95))-($B$3*SQRT((C95/B95)*(1-(C95/B95))/B95+$B$3^2/(4*B95^2))))/(1+$B$3^2/B95))</f>
        <v>0.3420820083076</v>
      </c>
      <c r="I95" s="10" t="n">
        <f aca="false">IF(B95=0,"",(((C95/B95)+$B$3^2/(2*B95))+($B$3*SQRT((C95/B95)*(1-(C95/B95))/B95+$B$3^2/(4*B95^2))))/(1+$B$3^2/B95))</f>
        <v>0.741804979142907</v>
      </c>
      <c r="J95" s="10" t="n">
        <f aca="false">IF(B95=0,"",(C95+D95)/B95)</f>
        <v>0.55</v>
      </c>
      <c r="K95" s="10" t="n">
        <f aca="false">IF(B95=0,"",E95/B95)</f>
        <v>0.05</v>
      </c>
    </row>
    <row r="96" customFormat="false" ht="15" hidden="false" customHeight="false" outlineLevel="0" collapsed="false">
      <c r="A96" s="9" t="s">
        <v>46</v>
      </c>
      <c r="B96" s="9" t="n">
        <f aca="false">COUNTIFS(Expense!$M$5:$M$113,"&lt;&gt;",Expense!$B$5:$B$113,"B - Tricky")</f>
        <v>21</v>
      </c>
      <c r="C96" s="9" t="n">
        <f aca="false">COUNTIFS(Expense!$M$5:$M$113,"Correct",Expense!$B$5:$B$113,"B - Tricky")</f>
        <v>6</v>
      </c>
      <c r="D96" s="9" t="n">
        <f aca="false">COUNTIFS(Expense!$M$5:$M$113,"Safe ask",Expense!$B$5:$B$113,"B - Tricky")</f>
        <v>2</v>
      </c>
      <c r="E96" s="9" t="n">
        <f aca="false">COUNTIFS(Expense!$M$5:$M$113,"Silent wrong",Expense!$B$5:$B$113,"B - Tricky")</f>
        <v>4</v>
      </c>
      <c r="F96" s="9" t="n">
        <f aca="false">COUNTIFS(Expense!$M$5:$M$113,"Missed",Expense!$B$5:$B$113,"B - Tricky")</f>
        <v>9</v>
      </c>
      <c r="G96" s="10" t="n">
        <f aca="false">IF(B96=0,"",C96/B96)</f>
        <v>0.285714285714286</v>
      </c>
      <c r="H96" s="10" t="n">
        <f aca="false">IF(B96=0,"",(((C96/B96)+$B$3^2/(2*B96))-($B$3*SQRT((C96/B96)*(1-(C96/B96))/B96+$B$3^2/(4*B96^2))))/(1+$B$3^2/B96))</f>
        <v>0.138136757456282</v>
      </c>
      <c r="I96" s="10" t="n">
        <f aca="false">IF(B96=0,"",(((C96/B96)+$B$3^2/(2*B96))+($B$3*SQRT((C96/B96)*(1-(C96/B96))/B96+$B$3^2/(4*B96^2))))/(1+$B$3^2/B96))</f>
        <v>0.499567738228376</v>
      </c>
      <c r="J96" s="10" t="n">
        <f aca="false">IF(B96=0,"",(C96+D96)/B96)</f>
        <v>0.380952380952381</v>
      </c>
      <c r="K96" s="10" t="n">
        <f aca="false">IF(B96=0,"",E96/B96)</f>
        <v>0.19047619047619</v>
      </c>
    </row>
    <row r="97" customFormat="false" ht="15" hidden="false" customHeight="false" outlineLevel="0" collapsed="false">
      <c r="A97" s="9" t="s">
        <v>47</v>
      </c>
      <c r="B97" s="9" t="n">
        <f aca="false">COUNTIFS(Expense!$M$5:$M$113,"&lt;&gt;",Expense!$B$5:$B$113,"C - Edge")</f>
        <v>14</v>
      </c>
      <c r="C97" s="9" t="n">
        <f aca="false">COUNTIFS(Expense!$M$5:$M$113,"Correct",Expense!$B$5:$B$113,"C - Edge")</f>
        <v>6</v>
      </c>
      <c r="D97" s="9" t="n">
        <f aca="false">COUNTIFS(Expense!$M$5:$M$113,"Safe ask",Expense!$B$5:$B$113,"C - Edge")</f>
        <v>0</v>
      </c>
      <c r="E97" s="9" t="n">
        <f aca="false">COUNTIFS(Expense!$M$5:$M$113,"Silent wrong",Expense!$B$5:$B$113,"C - Edge")</f>
        <v>4</v>
      </c>
      <c r="F97" s="9" t="n">
        <f aca="false">COUNTIFS(Expense!$M$5:$M$113,"Missed",Expense!$B$5:$B$113,"C - Edge")</f>
        <v>4</v>
      </c>
      <c r="G97" s="10" t="n">
        <f aca="false">IF(B97=0,"",C97/B97)</f>
        <v>0.428571428571429</v>
      </c>
      <c r="H97" s="10" t="n">
        <f aca="false">IF(B97=0,"",(((C97/B97)+$B$3^2/(2*B97))-($B$3*SQRT((C97/B97)*(1-(C97/B97))/B97+$B$3^2/(4*B97^2))))/(1+$B$3^2/B97))</f>
        <v>0.213805099304005</v>
      </c>
      <c r="I97" s="10" t="n">
        <f aca="false">IF(B97=0,"",(((C97/B97)+$B$3^2/(2*B97))+($B$3*SQRT((C97/B97)*(1-(C97/B97))/B97+$B$3^2/(4*B97^2))))/(1+$B$3^2/B97))</f>
        <v>0.674097330971306</v>
      </c>
      <c r="J97" s="10" t="n">
        <f aca="false">IF(B97=0,"",(C97+D97)/B97)</f>
        <v>0.428571428571429</v>
      </c>
      <c r="K97" s="10" t="n">
        <f aca="false">IF(B97=0,"",E97/B97)</f>
        <v>0.285714285714286</v>
      </c>
    </row>
    <row r="98" customFormat="false" ht="15" hidden="false" customHeight="false" outlineLevel="0" collapsed="false">
      <c r="A98" s="9" t="s">
        <v>48</v>
      </c>
      <c r="B98" s="9" t="n">
        <f aca="false">COUNTIFS(Expense!$M$5:$M$113,"&lt;&gt;",Expense!$B$5:$B$113,"D - Other business")</f>
        <v>21</v>
      </c>
      <c r="C98" s="9" t="n">
        <f aca="false">COUNTIFS(Expense!$M$5:$M$113,"Correct",Expense!$B$5:$B$113,"D - Other business")</f>
        <v>9</v>
      </c>
      <c r="D98" s="9" t="n">
        <f aca="false">COUNTIFS(Expense!$M$5:$M$113,"Safe ask",Expense!$B$5:$B$113,"D - Other business")</f>
        <v>4</v>
      </c>
      <c r="E98" s="9" t="n">
        <f aca="false">COUNTIFS(Expense!$M$5:$M$113,"Silent wrong",Expense!$B$5:$B$113,"D - Other business")</f>
        <v>1</v>
      </c>
      <c r="F98" s="9" t="n">
        <f aca="false">COUNTIFS(Expense!$M$5:$M$113,"Missed",Expense!$B$5:$B$113,"D - Other business")</f>
        <v>7</v>
      </c>
      <c r="G98" s="10" t="n">
        <f aca="false">IF(B98=0,"",C98/B98)</f>
        <v>0.428571428571429</v>
      </c>
      <c r="H98" s="10" t="n">
        <f aca="false">IF(B98=0,"",(((C98/B98)+$B$3^2/(2*B98))-($B$3*SQRT((C98/B98)*(1-(C98/B98))/B98+$B$3^2/(4*B98^2))))/(1+$B$3^2/B98))</f>
        <v>0.24469699486521</v>
      </c>
      <c r="I98" s="10" t="n">
        <f aca="false">IF(B98=0,"",(((C98/B98)+$B$3^2/(2*B98))+($B$3*SQRT((C98/B98)*(1-(C98/B98))/B98+$B$3^2/(4*B98^2))))/(1+$B$3^2/B98))</f>
        <v>0.634537837029675</v>
      </c>
      <c r="J98" s="10" t="n">
        <f aca="false">IF(B98=0,"",(C98+D98)/B98)</f>
        <v>0.619047619047619</v>
      </c>
      <c r="K98" s="10" t="n">
        <f aca="false">IF(B98=0,"",E98/B98)</f>
        <v>0.0476190476190476</v>
      </c>
    </row>
    <row r="99" customFormat="false" ht="15" hidden="false" customHeight="false" outlineLevel="0" collapsed="false">
      <c r="A99" s="9" t="s">
        <v>49</v>
      </c>
      <c r="B99" s="9" t="n">
        <f aca="false">COUNTIFS(Expense!$M$5:$M$113,"&lt;&gt;",Expense!$B$5:$B$113,"E - Mixed")</f>
        <v>33</v>
      </c>
      <c r="C99" s="9" t="n">
        <f aca="false">COUNTIFS(Expense!$M$5:$M$113,"Correct",Expense!$B$5:$B$113,"E - Mixed")</f>
        <v>20</v>
      </c>
      <c r="D99" s="9" t="n">
        <f aca="false">COUNTIFS(Expense!$M$5:$M$113,"Safe ask",Expense!$B$5:$B$113,"E - Mixed")</f>
        <v>3</v>
      </c>
      <c r="E99" s="9" t="n">
        <f aca="false">COUNTIFS(Expense!$M$5:$M$113,"Silent wrong",Expense!$B$5:$B$113,"E - Mixed")</f>
        <v>1</v>
      </c>
      <c r="F99" s="9" t="n">
        <f aca="false">COUNTIFS(Expense!$M$5:$M$113,"Missed",Expense!$B$5:$B$113,"E - Mixed")</f>
        <v>9</v>
      </c>
      <c r="G99" s="10" t="n">
        <f aca="false">IF(B99=0,"",C99/B99)</f>
        <v>0.606060606060606</v>
      </c>
      <c r="H99" s="10" t="n">
        <f aca="false">IF(B99=0,"",(((C99/B99)+$B$3^2/(2*B99))-($B$3*SQRT((C99/B99)*(1-(C99/B99))/B99+$B$3^2/(4*B99^2))))/(1+$B$3^2/B99))</f>
        <v>0.436831428065104</v>
      </c>
      <c r="I99" s="10" t="n">
        <f aca="false">IF(B99=0,"",(((C99/B99)+$B$3^2/(2*B99))+($B$3*SQRT((C99/B99)*(1-(C99/B99))/B99+$B$3^2/(4*B99^2))))/(1+$B$3^2/B99))</f>
        <v>0.753171177684918</v>
      </c>
      <c r="J99" s="10" t="n">
        <f aca="false">IF(B99=0,"",(C99+D99)/B99)</f>
        <v>0.696969696969697</v>
      </c>
      <c r="K99" s="10" t="n">
        <f aca="false">IF(B99=0,"",E99/B99)</f>
        <v>0.0303030303030303</v>
      </c>
    </row>
    <row r="100" customFormat="false" ht="15" hidden="false" customHeight="false" outlineLevel="0" collapsed="false">
      <c r="A100" s="3" t="s">
        <v>50</v>
      </c>
      <c r="B100" s="9" t="n">
        <f aca="false">COUNTIFS(Expense!$M$5:$M$113,"&lt;&gt;")</f>
        <v>109</v>
      </c>
      <c r="C100" s="9" t="n">
        <f aca="false">COUNTIFS(Expense!$M$5:$M$113,"Correct")</f>
        <v>52</v>
      </c>
      <c r="D100" s="9" t="n">
        <f aca="false">COUNTIFS(Expense!$M$5:$M$113,"Safe ask")</f>
        <v>9</v>
      </c>
      <c r="E100" s="9" t="n">
        <f aca="false">COUNTIFS(Expense!$M$5:$M$113,"Silent wrong")</f>
        <v>11</v>
      </c>
      <c r="F100" s="9" t="n">
        <f aca="false">COUNTIFS(Expense!$M$5:$M$113,"Missed")</f>
        <v>37</v>
      </c>
      <c r="G100" s="10" t="n">
        <f aca="false">IF(B100=0,"",C100/B100)</f>
        <v>0.477064220183486</v>
      </c>
      <c r="H100" s="10" t="n">
        <f aca="false">IF(B100=0,"",(((C100/B100)+$B$3^2/(2*B100))-($B$3*SQRT((C100/B100)*(1-(C100/B100))/B100+$B$3^2/(4*B100^2))))/(1+$B$3^2/B100))</f>
        <v>0.385683527033466</v>
      </c>
      <c r="I100" s="10" t="n">
        <f aca="false">IF(B100=0,"",(((C100/B100)+$B$3^2/(2*B100))+($B$3*SQRT((C100/B100)*(1-(C100/B100))/B100+$B$3^2/(4*B100^2))))/(1+$B$3^2/B100))</f>
        <v>0.57000657307146</v>
      </c>
      <c r="J100" s="10" t="n">
        <f aca="false">IF(B100=0,"",(C100+D100)/B100)</f>
        <v>0.559633027522936</v>
      </c>
      <c r="K100" s="10" t="n">
        <f aca="false">IF(B100=0,"",E100/B100)</f>
        <v>0.100917431192661</v>
      </c>
    </row>
    <row r="103" customFormat="false" ht="15" hidden="false" customHeight="false" outlineLevel="0" collapsed="false">
      <c r="A103" s="7" t="s">
        <v>57</v>
      </c>
    </row>
    <row r="104" customFormat="false" ht="23.85" hidden="false" customHeight="false" outlineLevel="0" collapsed="false">
      <c r="A104" s="8" t="s">
        <v>40</v>
      </c>
      <c r="B104" s="8" t="s">
        <v>9</v>
      </c>
      <c r="C104" s="8" t="s">
        <v>41</v>
      </c>
      <c r="D104" s="8" t="s">
        <v>42</v>
      </c>
      <c r="E104" s="8" t="s">
        <v>43</v>
      </c>
      <c r="F104" s="8" t="s">
        <v>44</v>
      </c>
      <c r="G104" s="8" t="s">
        <v>10</v>
      </c>
      <c r="H104" s="8" t="s">
        <v>11</v>
      </c>
      <c r="I104" s="8" t="s">
        <v>12</v>
      </c>
      <c r="J104" s="8" t="s">
        <v>13</v>
      </c>
      <c r="K104" s="8" t="s">
        <v>14</v>
      </c>
    </row>
    <row r="105" customFormat="false" ht="15" hidden="false" customHeight="false" outlineLevel="0" collapsed="false">
      <c r="A105" s="9" t="s">
        <v>45</v>
      </c>
      <c r="B105" s="9" t="n">
        <f aca="false">COUNTIFS(Expense!$P$5:$P$113,"&lt;&gt;",Expense!$B$5:$B$113,"A - Daily")</f>
        <v>20</v>
      </c>
      <c r="C105" s="9" t="n">
        <f aca="false">COUNTIFS(Expense!$P$5:$P$113,"Correct",Expense!$B$5:$B$113,"A - Daily")</f>
        <v>18</v>
      </c>
      <c r="D105" s="9" t="n">
        <f aca="false">COUNTIFS(Expense!$P$5:$P$113,"Safe ask",Expense!$B$5:$B$113,"A - Daily")</f>
        <v>2</v>
      </c>
      <c r="E105" s="9" t="n">
        <f aca="false">COUNTIFS(Expense!$P$5:$P$113,"Silent wrong",Expense!$B$5:$B$113,"A - Daily")</f>
        <v>0</v>
      </c>
      <c r="F105" s="9" t="n">
        <f aca="false">COUNTIFS(Expense!$P$5:$P$113,"Missed",Expense!$B$5:$B$113,"A - Daily")</f>
        <v>0</v>
      </c>
      <c r="G105" s="10" t="n">
        <f aca="false">IF(B105=0,"",C105/B105)</f>
        <v>0.9</v>
      </c>
      <c r="H105" s="10" t="n">
        <f aca="false">IF(B105=0,"",(((C105/B105)+$B$3^2/(2*B105))-($B$3*SQRT((C105/B105)*(1-(C105/B105))/B105+$B$3^2/(4*B105^2))))/(1+$B$3^2/B105))</f>
        <v>0.698961793588207</v>
      </c>
      <c r="I105" s="10" t="n">
        <f aca="false">IF(B105=0,"",(((C105/B105)+$B$3^2/(2*B105))+($B$3*SQRT((C105/B105)*(1-(C105/B105))/B105+$B$3^2/(4*B105^2))))/(1+$B$3^2/B105))</f>
        <v>0.972134106015847</v>
      </c>
      <c r="J105" s="10" t="n">
        <f aca="false">IF(B105=0,"",(C105+D105)/B105)</f>
        <v>1</v>
      </c>
      <c r="K105" s="10" t="n">
        <f aca="false">IF(B105=0,"",E105/B105)</f>
        <v>0</v>
      </c>
    </row>
    <row r="106" customFormat="false" ht="15" hidden="false" customHeight="false" outlineLevel="0" collapsed="false">
      <c r="A106" s="9" t="s">
        <v>46</v>
      </c>
      <c r="B106" s="9" t="n">
        <f aca="false">COUNTIFS(Expense!$P$5:$P$113,"&lt;&gt;",Expense!$B$5:$B$113,"B - Tricky")</f>
        <v>20</v>
      </c>
      <c r="C106" s="9" t="n">
        <f aca="false">COUNTIFS(Expense!$P$5:$P$113,"Correct",Expense!$B$5:$B$113,"B - Tricky")</f>
        <v>20</v>
      </c>
      <c r="D106" s="9" t="n">
        <f aca="false">COUNTIFS(Expense!$P$5:$P$113,"Safe ask",Expense!$B$5:$B$113,"B - Tricky")</f>
        <v>0</v>
      </c>
      <c r="E106" s="9" t="n">
        <f aca="false">COUNTIFS(Expense!$P$5:$P$113,"Silent wrong",Expense!$B$5:$B$113,"B - Tricky")</f>
        <v>0</v>
      </c>
      <c r="F106" s="9" t="n">
        <f aca="false">COUNTIFS(Expense!$P$5:$P$113,"Missed",Expense!$B$5:$B$113,"B - Tricky")</f>
        <v>0</v>
      </c>
      <c r="G106" s="10" t="n">
        <f aca="false">IF(B106=0,"",C106/B106)</f>
        <v>1</v>
      </c>
      <c r="H106" s="10" t="n">
        <f aca="false">IF(B106=0,"",(((C106/B106)+$B$3^2/(2*B106))-($B$3*SQRT((C106/B106)*(1-(C106/B106))/B106+$B$3^2/(4*B106^2))))/(1+$B$3^2/B106))</f>
        <v>0.838869874505067</v>
      </c>
      <c r="I106" s="10" t="n">
        <f aca="false">IF(B106=0,"",(((C106/B106)+$B$3^2/(2*B106))+($B$3*SQRT((C106/B106)*(1-(C106/B106))/B106+$B$3^2/(4*B106^2))))/(1+$B$3^2/B106))</f>
        <v>1</v>
      </c>
      <c r="J106" s="10" t="n">
        <f aca="false">IF(B106=0,"",(C106+D106)/B106)</f>
        <v>1</v>
      </c>
      <c r="K106" s="10" t="n">
        <f aca="false">IF(B106=0,"",E106/B106)</f>
        <v>0</v>
      </c>
    </row>
    <row r="107" customFormat="false" ht="15" hidden="false" customHeight="false" outlineLevel="0" collapsed="false">
      <c r="A107" s="9" t="s">
        <v>47</v>
      </c>
      <c r="B107" s="9" t="n">
        <f aca="false">COUNTIFS(Expense!$P$5:$P$113,"&lt;&gt;",Expense!$B$5:$B$113,"C - Edge")</f>
        <v>12</v>
      </c>
      <c r="C107" s="9" t="n">
        <f aca="false">COUNTIFS(Expense!$P$5:$P$113,"Correct",Expense!$B$5:$B$113,"C - Edge")</f>
        <v>10</v>
      </c>
      <c r="D107" s="9" t="n">
        <f aca="false">COUNTIFS(Expense!$P$5:$P$113,"Safe ask",Expense!$B$5:$B$113,"C - Edge")</f>
        <v>1</v>
      </c>
      <c r="E107" s="9" t="n">
        <f aca="false">COUNTIFS(Expense!$P$5:$P$113,"Silent wrong",Expense!$B$5:$B$113,"C - Edge")</f>
        <v>0</v>
      </c>
      <c r="F107" s="9" t="n">
        <f aca="false">COUNTIFS(Expense!$P$5:$P$113,"Missed",Expense!$B$5:$B$113,"C - Edge")</f>
        <v>1</v>
      </c>
      <c r="G107" s="10" t="n">
        <f aca="false">IF(B107=0,"",C107/B107)</f>
        <v>0.833333333333333</v>
      </c>
      <c r="H107" s="10" t="n">
        <f aca="false">IF(B107=0,"",(((C107/B107)+$B$3^2/(2*B107))-($B$3*SQRT((C107/B107)*(1-(C107/B107))/B107+$B$3^2/(4*B107^2))))/(1+$B$3^2/B107))</f>
        <v>0.551963642615327</v>
      </c>
      <c r="I107" s="10" t="n">
        <f aca="false">IF(B107=0,"",(((C107/B107)+$B$3^2/(2*B107))+($B$3*SQRT((C107/B107)*(1-(C107/B107))/B107+$B$3^2/(4*B107^2))))/(1+$B$3^2/B107))</f>
        <v>0.953035852385178</v>
      </c>
      <c r="J107" s="10" t="n">
        <f aca="false">IF(B107=0,"",(C107+D107)/B107)</f>
        <v>0.916666666666667</v>
      </c>
      <c r="K107" s="10" t="n">
        <f aca="false">IF(B107=0,"",E107/B107)</f>
        <v>0</v>
      </c>
    </row>
    <row r="108" customFormat="false" ht="15" hidden="false" customHeight="false" outlineLevel="0" collapsed="false">
      <c r="A108" s="9" t="s">
        <v>48</v>
      </c>
      <c r="B108" s="9" t="n">
        <f aca="false">COUNTIFS(Expense!$P$5:$P$113,"&lt;&gt;",Expense!$B$5:$B$113,"D - Other business")</f>
        <v>20</v>
      </c>
      <c r="C108" s="9" t="n">
        <f aca="false">COUNTIFS(Expense!$P$5:$P$113,"Correct",Expense!$B$5:$B$113,"D - Other business")</f>
        <v>20</v>
      </c>
      <c r="D108" s="9" t="n">
        <f aca="false">COUNTIFS(Expense!$P$5:$P$113,"Safe ask",Expense!$B$5:$B$113,"D - Other business")</f>
        <v>0</v>
      </c>
      <c r="E108" s="9" t="n">
        <f aca="false">COUNTIFS(Expense!$P$5:$P$113,"Silent wrong",Expense!$B$5:$B$113,"D - Other business")</f>
        <v>0</v>
      </c>
      <c r="F108" s="9" t="n">
        <f aca="false">COUNTIFS(Expense!$P$5:$P$113,"Missed",Expense!$B$5:$B$113,"D - Other business")</f>
        <v>0</v>
      </c>
      <c r="G108" s="10" t="n">
        <f aca="false">IF(B108=0,"",C108/B108)</f>
        <v>1</v>
      </c>
      <c r="H108" s="10" t="n">
        <f aca="false">IF(B108=0,"",(((C108/B108)+$B$3^2/(2*B108))-($B$3*SQRT((C108/B108)*(1-(C108/B108))/B108+$B$3^2/(4*B108^2))))/(1+$B$3^2/B108))</f>
        <v>0.838869874505067</v>
      </c>
      <c r="I108" s="10" t="n">
        <f aca="false">IF(B108=0,"",(((C108/B108)+$B$3^2/(2*B108))+($B$3*SQRT((C108/B108)*(1-(C108/B108))/B108+$B$3^2/(4*B108^2))))/(1+$B$3^2/B108))</f>
        <v>1</v>
      </c>
      <c r="J108" s="10" t="n">
        <f aca="false">IF(B108=0,"",(C108+D108)/B108)</f>
        <v>1</v>
      </c>
      <c r="K108" s="10" t="n">
        <f aca="false">IF(B108=0,"",E108/B108)</f>
        <v>0</v>
      </c>
    </row>
    <row r="109" customFormat="false" ht="15" hidden="false" customHeight="false" outlineLevel="0" collapsed="false">
      <c r="A109" s="9" t="s">
        <v>49</v>
      </c>
      <c r="B109" s="9" t="n">
        <f aca="false">COUNTIFS(Expense!$P$5:$P$113,"&lt;&gt;",Expense!$B$5:$B$113,"E - Mixed")</f>
        <v>33</v>
      </c>
      <c r="C109" s="9" t="n">
        <f aca="false">COUNTIFS(Expense!$P$5:$P$113,"Correct",Expense!$B$5:$B$113,"E - Mixed")</f>
        <v>33</v>
      </c>
      <c r="D109" s="9" t="n">
        <f aca="false">COUNTIFS(Expense!$P$5:$P$113,"Safe ask",Expense!$B$5:$B$113,"E - Mixed")</f>
        <v>0</v>
      </c>
      <c r="E109" s="9" t="n">
        <f aca="false">COUNTIFS(Expense!$P$5:$P$113,"Silent wrong",Expense!$B$5:$B$113,"E - Mixed")</f>
        <v>0</v>
      </c>
      <c r="F109" s="9" t="n">
        <f aca="false">COUNTIFS(Expense!$P$5:$P$113,"Missed",Expense!$B$5:$B$113,"E - Mixed")</f>
        <v>0</v>
      </c>
      <c r="G109" s="10" t="n">
        <f aca="false">IF(B109=0,"",C109/B109)</f>
        <v>1</v>
      </c>
      <c r="H109" s="10" t="n">
        <f aca="false">IF(B109=0,"",(((C109/B109)+$B$3^2/(2*B109))-($B$3*SQRT((C109/B109)*(1-(C109/B109))/B109+$B$3^2/(4*B109^2))))/(1+$B$3^2/B109))</f>
        <v>0.895726569964388</v>
      </c>
      <c r="I109" s="10" t="n">
        <f aca="false">IF(B109=0,"",(((C109/B109)+$B$3^2/(2*B109))+($B$3*SQRT((C109/B109)*(1-(C109/B109))/B109+$B$3^2/(4*B109^2))))/(1+$B$3^2/B109))</f>
        <v>1</v>
      </c>
      <c r="J109" s="10" t="n">
        <f aca="false">IF(B109=0,"",(C109+D109)/B109)</f>
        <v>1</v>
      </c>
      <c r="K109" s="10" t="n">
        <f aca="false">IF(B109=0,"",E109/B109)</f>
        <v>0</v>
      </c>
    </row>
    <row r="110" customFormat="false" ht="15" hidden="false" customHeight="false" outlineLevel="0" collapsed="false">
      <c r="A110" s="3" t="s">
        <v>50</v>
      </c>
      <c r="B110" s="9" t="n">
        <f aca="false">COUNTIFS(Expense!$P$5:$P$113,"&lt;&gt;")</f>
        <v>105</v>
      </c>
      <c r="C110" s="9" t="n">
        <f aca="false">COUNTIFS(Expense!$P$5:$P$113,"Correct")</f>
        <v>101</v>
      </c>
      <c r="D110" s="9" t="n">
        <f aca="false">COUNTIFS(Expense!$P$5:$P$113,"Safe ask")</f>
        <v>3</v>
      </c>
      <c r="E110" s="9" t="n">
        <f aca="false">COUNTIFS(Expense!$P$5:$P$113,"Silent wrong")</f>
        <v>0</v>
      </c>
      <c r="F110" s="9" t="n">
        <f aca="false">COUNTIFS(Expense!$P$5:$P$113,"Missed")</f>
        <v>1</v>
      </c>
      <c r="G110" s="10" t="n">
        <f aca="false">IF(B110=0,"",C110/B110)</f>
        <v>0.961904761904762</v>
      </c>
      <c r="H110" s="10" t="n">
        <f aca="false">IF(B110=0,"",(((C110/B110)+$B$3^2/(2*B110))-($B$3*SQRT((C110/B110)*(1-(C110/B110))/B110+$B$3^2/(4*B110^2))))/(1+$B$3^2/B110))</f>
        <v>0.906115581467651</v>
      </c>
      <c r="I110" s="10" t="n">
        <f aca="false">IF(B110=0,"",(((C110/B110)+$B$3^2/(2*B110))+($B$3*SQRT((C110/B110)*(1-(C110/B110))/B110+$B$3^2/(4*B110^2))))/(1+$B$3^2/B110))</f>
        <v>0.985087781952218</v>
      </c>
      <c r="J110" s="10" t="n">
        <f aca="false">IF(B110=0,"",(C110+D110)/B110)</f>
        <v>0.990476190476191</v>
      </c>
      <c r="K110" s="10" t="n">
        <f aca="false">IF(B110=0,"",E110/B110)</f>
        <v>0</v>
      </c>
    </row>
    <row r="113" customFormat="false" ht="15" hidden="false" customHeight="false" outlineLevel="0" collapsed="false">
      <c r="A113" s="7" t="s">
        <v>58</v>
      </c>
    </row>
    <row r="114" customFormat="false" ht="23.85" hidden="false" customHeight="false" outlineLevel="0" collapsed="false">
      <c r="A114" s="8" t="s">
        <v>40</v>
      </c>
      <c r="B114" s="8" t="s">
        <v>9</v>
      </c>
      <c r="C114" s="8" t="s">
        <v>41</v>
      </c>
      <c r="D114" s="8" t="s">
        <v>42</v>
      </c>
      <c r="E114" s="8" t="s">
        <v>43</v>
      </c>
      <c r="F114" s="8" t="s">
        <v>44</v>
      </c>
      <c r="G114" s="8" t="s">
        <v>10</v>
      </c>
      <c r="H114" s="8" t="s">
        <v>11</v>
      </c>
      <c r="I114" s="8" t="s">
        <v>12</v>
      </c>
      <c r="J114" s="8" t="s">
        <v>13</v>
      </c>
      <c r="K114" s="8" t="s">
        <v>14</v>
      </c>
    </row>
    <row r="115" customFormat="false" ht="15" hidden="false" customHeight="false" outlineLevel="0" collapsed="false">
      <c r="A115" s="9" t="s">
        <v>45</v>
      </c>
      <c r="B115" s="9" t="n">
        <f aca="false">COUNTIFS(Family!$M$5:$M$80,"&lt;&gt;",Family!$B$5:$B$80,"A - Daily")</f>
        <v>10</v>
      </c>
      <c r="C115" s="9" t="n">
        <f aca="false">COUNTIFS(Family!$M$5:$M$80,"Correct",Family!$B$5:$B$80,"A - Daily")</f>
        <v>4</v>
      </c>
      <c r="D115" s="9" t="n">
        <f aca="false">COUNTIFS(Family!$M$5:$M$80,"Safe ask",Family!$B$5:$B$80,"A - Daily")</f>
        <v>1</v>
      </c>
      <c r="E115" s="9" t="n">
        <f aca="false">COUNTIFS(Family!$M$5:$M$80,"Silent wrong",Family!$B$5:$B$80,"A - Daily")</f>
        <v>1</v>
      </c>
      <c r="F115" s="9" t="n">
        <f aca="false">COUNTIFS(Family!$M$5:$M$80,"Missed",Family!$B$5:$B$80,"A - Daily")</f>
        <v>4</v>
      </c>
      <c r="G115" s="10" t="n">
        <f aca="false">IF(B115=0,"",C115/B115)</f>
        <v>0.4</v>
      </c>
      <c r="H115" s="10" t="n">
        <f aca="false">IF(B115=0,"",(((C115/B115)+$B$3^2/(2*B115))-($B$3*SQRT((C115/B115)*(1-(C115/B115))/B115+$B$3^2/(4*B115^2))))/(1+$B$3^2/B115))</f>
        <v>0.16817758120351</v>
      </c>
      <c r="I115" s="10" t="n">
        <f aca="false">IF(B115=0,"",(((C115/B115)+$B$3^2/(2*B115))+($B$3*SQRT((C115/B115)*(1-(C115/B115))/B115+$B$3^2/(4*B115^2))))/(1+$B$3^2/B115))</f>
        <v>0.687330452549814</v>
      </c>
      <c r="J115" s="10" t="n">
        <f aca="false">IF(B115=0,"",(C115+D115)/B115)</f>
        <v>0.5</v>
      </c>
      <c r="K115" s="10" t="n">
        <f aca="false">IF(B115=0,"",E115/B115)</f>
        <v>0.1</v>
      </c>
    </row>
    <row r="116" customFormat="false" ht="15" hidden="false" customHeight="false" outlineLevel="0" collapsed="false">
      <c r="A116" s="9" t="s">
        <v>46</v>
      </c>
      <c r="B116" s="9" t="n">
        <f aca="false">COUNTIFS(Family!$M$5:$M$80,"&lt;&gt;",Family!$B$5:$B$80,"B - Tricky")</f>
        <v>15</v>
      </c>
      <c r="C116" s="9" t="n">
        <f aca="false">COUNTIFS(Family!$M$5:$M$80,"Correct",Family!$B$5:$B$80,"B - Tricky")</f>
        <v>3</v>
      </c>
      <c r="D116" s="9" t="n">
        <f aca="false">COUNTIFS(Family!$M$5:$M$80,"Safe ask",Family!$B$5:$B$80,"B - Tricky")</f>
        <v>6</v>
      </c>
      <c r="E116" s="9" t="n">
        <f aca="false">COUNTIFS(Family!$M$5:$M$80,"Silent wrong",Family!$B$5:$B$80,"B - Tricky")</f>
        <v>4</v>
      </c>
      <c r="F116" s="9" t="n">
        <f aca="false">COUNTIFS(Family!$M$5:$M$80,"Missed",Family!$B$5:$B$80,"B - Tricky")</f>
        <v>2</v>
      </c>
      <c r="G116" s="10" t="n">
        <f aca="false">IF(B116=0,"",C116/B116)</f>
        <v>0.2</v>
      </c>
      <c r="H116" s="10" t="n">
        <f aca="false">IF(B116=0,"",(((C116/B116)+$B$3^2/(2*B116))-($B$3*SQRT((C116/B116)*(1-(C116/B116))/B116+$B$3^2/(4*B116^2))))/(1+$B$3^2/B116))</f>
        <v>0.0704742064361041</v>
      </c>
      <c r="I116" s="10" t="n">
        <f aca="false">IF(B116=0,"",(((C116/B116)+$B$3^2/(2*B116))+($B$3*SQRT((C116/B116)*(1-(C116/B116))/B116+$B$3^2/(4*B116^2))))/(1+$B$3^2/B116))</f>
        <v>0.451859353346505</v>
      </c>
      <c r="J116" s="10" t="n">
        <f aca="false">IF(B116=0,"",(C116+D116)/B116)</f>
        <v>0.6</v>
      </c>
      <c r="K116" s="10" t="n">
        <f aca="false">IF(B116=0,"",E116/B116)</f>
        <v>0.266666666666667</v>
      </c>
    </row>
    <row r="117" customFormat="false" ht="15" hidden="false" customHeight="false" outlineLevel="0" collapsed="false">
      <c r="A117" s="9" t="s">
        <v>47</v>
      </c>
      <c r="B117" s="9" t="n">
        <f aca="false">COUNTIFS(Family!$M$5:$M$80,"&lt;&gt;",Family!$B$5:$B$80,"C - Edge")</f>
        <v>11</v>
      </c>
      <c r="C117" s="9" t="n">
        <f aca="false">COUNTIFS(Family!$M$5:$M$80,"Correct",Family!$B$5:$B$80,"C - Edge")</f>
        <v>9</v>
      </c>
      <c r="D117" s="9" t="n">
        <f aca="false">COUNTIFS(Family!$M$5:$M$80,"Safe ask",Family!$B$5:$B$80,"C - Edge")</f>
        <v>0</v>
      </c>
      <c r="E117" s="9" t="n">
        <f aca="false">COUNTIFS(Family!$M$5:$M$80,"Silent wrong",Family!$B$5:$B$80,"C - Edge")</f>
        <v>1</v>
      </c>
      <c r="F117" s="9" t="n">
        <f aca="false">COUNTIFS(Family!$M$5:$M$80,"Missed",Family!$B$5:$B$80,"C - Edge")</f>
        <v>1</v>
      </c>
      <c r="G117" s="10" t="n">
        <f aca="false">IF(B117=0,"",C117/B117)</f>
        <v>0.818181818181818</v>
      </c>
      <c r="H117" s="10" t="n">
        <f aca="false">IF(B117=0,"",(((C117/B117)+$B$3^2/(2*B117))-($B$3*SQRT((C117/B117)*(1-(C117/B117))/B117+$B$3^2/(4*B117^2))))/(1+$B$3^2/B117))</f>
        <v>0.523013862421755</v>
      </c>
      <c r="I117" s="10" t="n">
        <f aca="false">IF(B117=0,"",(((C117/B117)+$B$3^2/(2*B117))+($B$3*SQRT((C117/B117)*(1-(C117/B117))/B117+$B$3^2/(4*B117^2))))/(1+$B$3^2/B117))</f>
        <v>0.948633399328999</v>
      </c>
      <c r="J117" s="10" t="n">
        <f aca="false">IF(B117=0,"",(C117+D117)/B117)</f>
        <v>0.818181818181818</v>
      </c>
      <c r="K117" s="10" t="n">
        <f aca="false">IF(B117=0,"",E117/B117)</f>
        <v>0.0909090909090909</v>
      </c>
    </row>
    <row r="118" customFormat="false" ht="15" hidden="false" customHeight="false" outlineLevel="0" collapsed="false">
      <c r="A118" s="9" t="s">
        <v>48</v>
      </c>
      <c r="B118" s="9" t="n">
        <f aca="false">COUNTIFS(Family!$M$5:$M$80,"&lt;&gt;",Family!$B$5:$B$80,"D - Other business")</f>
        <v>14</v>
      </c>
      <c r="C118" s="9" t="n">
        <f aca="false">COUNTIFS(Family!$M$5:$M$80,"Correct",Family!$B$5:$B$80,"D - Other business")</f>
        <v>5</v>
      </c>
      <c r="D118" s="9" t="n">
        <f aca="false">COUNTIFS(Family!$M$5:$M$80,"Safe ask",Family!$B$5:$B$80,"D - Other business")</f>
        <v>1</v>
      </c>
      <c r="E118" s="9" t="n">
        <f aca="false">COUNTIFS(Family!$M$5:$M$80,"Silent wrong",Family!$B$5:$B$80,"D - Other business")</f>
        <v>3</v>
      </c>
      <c r="F118" s="9" t="n">
        <f aca="false">COUNTIFS(Family!$M$5:$M$80,"Missed",Family!$B$5:$B$80,"D - Other business")</f>
        <v>5</v>
      </c>
      <c r="G118" s="10" t="n">
        <f aca="false">IF(B118=0,"",C118/B118)</f>
        <v>0.357142857142857</v>
      </c>
      <c r="H118" s="10" t="n">
        <f aca="false">IF(B118=0,"",(((C118/B118)+$B$3^2/(2*B118))-($B$3*SQRT((C118/B118)*(1-(C118/B118))/B118+$B$3^2/(4*B118^2))))/(1+$B$3^2/B118))</f>
        <v>0.163444907372027</v>
      </c>
      <c r="I118" s="10" t="n">
        <f aca="false">IF(B118=0,"",(((C118/B118)+$B$3^2/(2*B118))+($B$3*SQRT((C118/B118)*(1-(C118/B118))/B118+$B$3^2/(4*B118^2))))/(1+$B$3^2/B118))</f>
        <v>0.612359953178596</v>
      </c>
      <c r="J118" s="10" t="n">
        <f aca="false">IF(B118=0,"",(C118+D118)/B118)</f>
        <v>0.428571428571429</v>
      </c>
      <c r="K118" s="10" t="n">
        <f aca="false">IF(B118=0,"",E118/B118)</f>
        <v>0.214285714285714</v>
      </c>
    </row>
    <row r="119" customFormat="false" ht="15" hidden="false" customHeight="false" outlineLevel="0" collapsed="false">
      <c r="A119" s="9" t="s">
        <v>49</v>
      </c>
      <c r="B119" s="9" t="n">
        <f aca="false">COUNTIFS(Family!$M$5:$M$80,"&lt;&gt;",Family!$B$5:$B$80,"E - Mixed")</f>
        <v>25</v>
      </c>
      <c r="C119" s="9" t="n">
        <f aca="false">COUNTIFS(Family!$M$5:$M$80,"Correct",Family!$B$5:$B$80,"E - Mixed")</f>
        <v>20</v>
      </c>
      <c r="D119" s="9" t="n">
        <f aca="false">COUNTIFS(Family!$M$5:$M$80,"Safe ask",Family!$B$5:$B$80,"E - Mixed")</f>
        <v>0</v>
      </c>
      <c r="E119" s="9" t="n">
        <f aca="false">COUNTIFS(Family!$M$5:$M$80,"Silent wrong",Family!$B$5:$B$80,"E - Mixed")</f>
        <v>3</v>
      </c>
      <c r="F119" s="9" t="n">
        <f aca="false">COUNTIFS(Family!$M$5:$M$80,"Missed",Family!$B$5:$B$80,"E - Mixed")</f>
        <v>2</v>
      </c>
      <c r="G119" s="10" t="n">
        <f aca="false">IF(B119=0,"",C119/B119)</f>
        <v>0.8</v>
      </c>
      <c r="H119" s="10" t="n">
        <f aca="false">IF(B119=0,"",(((C119/B119)+$B$3^2/(2*B119))-($B$3*SQRT((C119/B119)*(1-(C119/B119))/B119+$B$3^2/(4*B119^2))))/(1+$B$3^2/B119))</f>
        <v>0.608686644634618</v>
      </c>
      <c r="I119" s="10" t="n">
        <f aca="false">IF(B119=0,"",(((C119/B119)+$B$3^2/(2*B119))+($B$3*SQRT((C119/B119)*(1-(C119/B119))/B119+$B$3^2/(4*B119^2))))/(1+$B$3^2/B119))</f>
        <v>0.911395458993475</v>
      </c>
      <c r="J119" s="10" t="n">
        <f aca="false">IF(B119=0,"",(C119+D119)/B119)</f>
        <v>0.8</v>
      </c>
      <c r="K119" s="10" t="n">
        <f aca="false">IF(B119=0,"",E119/B119)</f>
        <v>0.12</v>
      </c>
    </row>
    <row r="120" customFormat="false" ht="15" hidden="false" customHeight="false" outlineLevel="0" collapsed="false">
      <c r="A120" s="3" t="s">
        <v>50</v>
      </c>
      <c r="B120" s="9" t="n">
        <f aca="false">COUNTIFS(Family!$M$5:$M$80,"&lt;&gt;")</f>
        <v>75</v>
      </c>
      <c r="C120" s="9" t="n">
        <f aca="false">COUNTIFS(Family!$M$5:$M$80,"Correct")</f>
        <v>41</v>
      </c>
      <c r="D120" s="9" t="n">
        <f aca="false">COUNTIFS(Family!$M$5:$M$80,"Safe ask")</f>
        <v>8</v>
      </c>
      <c r="E120" s="9" t="n">
        <f aca="false">COUNTIFS(Family!$M$5:$M$80,"Silent wrong")</f>
        <v>12</v>
      </c>
      <c r="F120" s="9" t="n">
        <f aca="false">COUNTIFS(Family!$M$5:$M$80,"Missed")</f>
        <v>14</v>
      </c>
      <c r="G120" s="10" t="n">
        <f aca="false">IF(B120=0,"",C120/B120)</f>
        <v>0.546666666666667</v>
      </c>
      <c r="H120" s="10" t="n">
        <f aca="false">IF(B120=0,"",(((C120/B120)+$B$3^2/(2*B120))-($B$3*SQRT((C120/B120)*(1-(C120/B120))/B120+$B$3^2/(4*B120^2))))/(1+$B$3^2/B120))</f>
        <v>0.434481736991482</v>
      </c>
      <c r="I120" s="10" t="n">
        <f aca="false">IF(B120=0,"",(((C120/B120)+$B$3^2/(2*B120))+($B$3*SQRT((C120/B120)*(1-(C120/B120))/B120+$B$3^2/(4*B120^2))))/(1+$B$3^2/B120))</f>
        <v>0.654303878724079</v>
      </c>
      <c r="J120" s="10" t="n">
        <f aca="false">IF(B120=0,"",(C120+D120)/B120)</f>
        <v>0.653333333333333</v>
      </c>
      <c r="K120" s="10" t="n">
        <f aca="false">IF(B120=0,"",E120/B120)</f>
        <v>0.16</v>
      </c>
    </row>
    <row r="123" customFormat="false" ht="15" hidden="false" customHeight="false" outlineLevel="0" collapsed="false">
      <c r="A123" s="7" t="s">
        <v>59</v>
      </c>
    </row>
    <row r="124" customFormat="false" ht="23.85" hidden="false" customHeight="false" outlineLevel="0" collapsed="false">
      <c r="A124" s="8" t="s">
        <v>40</v>
      </c>
      <c r="B124" s="8" t="s">
        <v>9</v>
      </c>
      <c r="C124" s="8" t="s">
        <v>41</v>
      </c>
      <c r="D124" s="8" t="s">
        <v>42</v>
      </c>
      <c r="E124" s="8" t="s">
        <v>43</v>
      </c>
      <c r="F124" s="8" t="s">
        <v>44</v>
      </c>
      <c r="G124" s="8" t="s">
        <v>10</v>
      </c>
      <c r="H124" s="8" t="s">
        <v>11</v>
      </c>
      <c r="I124" s="8" t="s">
        <v>12</v>
      </c>
      <c r="J124" s="8" t="s">
        <v>13</v>
      </c>
      <c r="K124" s="8" t="s">
        <v>14</v>
      </c>
    </row>
    <row r="125" customFormat="false" ht="15" hidden="false" customHeight="false" outlineLevel="0" collapsed="false">
      <c r="A125" s="9" t="s">
        <v>45</v>
      </c>
      <c r="B125" s="9" t="n">
        <f aca="false">COUNTIFS(Family!$P$5:$P$80,"&lt;&gt;",Family!$B$5:$B$80,"A - Daily")</f>
        <v>10</v>
      </c>
      <c r="C125" s="9" t="n">
        <f aca="false">COUNTIFS(Family!$P$5:$P$80,"Correct",Family!$B$5:$B$80,"A - Daily")</f>
        <v>10</v>
      </c>
      <c r="D125" s="9" t="n">
        <f aca="false">COUNTIFS(Family!$P$5:$P$80,"Safe ask",Family!$B$5:$B$80,"A - Daily")</f>
        <v>0</v>
      </c>
      <c r="E125" s="9" t="n">
        <f aca="false">COUNTIFS(Family!$P$5:$P$80,"Silent wrong",Family!$B$5:$B$80,"A - Daily")</f>
        <v>0</v>
      </c>
      <c r="F125" s="9" t="n">
        <f aca="false">COUNTIFS(Family!$P$5:$P$80,"Missed",Family!$B$5:$B$80,"A - Daily")</f>
        <v>0</v>
      </c>
      <c r="G125" s="10" t="n">
        <f aca="false">IF(B125=0,"",C125/B125)</f>
        <v>1</v>
      </c>
      <c r="H125" s="10" t="n">
        <f aca="false">IF(B125=0,"",(((C125/B125)+$B$3^2/(2*B125))-($B$3*SQRT((C125/B125)*(1-(C125/B125))/B125+$B$3^2/(4*B125^2))))/(1+$B$3^2/B125))</f>
        <v>0.722459831233383</v>
      </c>
      <c r="I125" s="10" t="n">
        <f aca="false">IF(B125=0,"",(((C125/B125)+$B$3^2/(2*B125))+($B$3*SQRT((C125/B125)*(1-(C125/B125))/B125+$B$3^2/(4*B125^2))))/(1+$B$3^2/B125))</f>
        <v>1</v>
      </c>
      <c r="J125" s="10" t="n">
        <f aca="false">IF(B125=0,"",(C125+D125)/B125)</f>
        <v>1</v>
      </c>
      <c r="K125" s="10" t="n">
        <f aca="false">IF(B125=0,"",E125/B125)</f>
        <v>0</v>
      </c>
    </row>
    <row r="126" customFormat="false" ht="15" hidden="false" customHeight="false" outlineLevel="0" collapsed="false">
      <c r="A126" s="9" t="s">
        <v>46</v>
      </c>
      <c r="B126" s="9" t="n">
        <f aca="false">COUNTIFS(Family!$P$5:$P$80,"&lt;&gt;",Family!$B$5:$B$80,"B - Tricky")</f>
        <v>12</v>
      </c>
      <c r="C126" s="9" t="n">
        <f aca="false">COUNTIFS(Family!$P$5:$P$80,"Correct",Family!$B$5:$B$80,"B - Tricky")</f>
        <v>12</v>
      </c>
      <c r="D126" s="9" t="n">
        <f aca="false">COUNTIFS(Family!$P$5:$P$80,"Safe ask",Family!$B$5:$B$80,"B - Tricky")</f>
        <v>0</v>
      </c>
      <c r="E126" s="9" t="n">
        <f aca="false">COUNTIFS(Family!$P$5:$P$80,"Silent wrong",Family!$B$5:$B$80,"B - Tricky")</f>
        <v>0</v>
      </c>
      <c r="F126" s="9" t="n">
        <f aca="false">COUNTIFS(Family!$P$5:$P$80,"Missed",Family!$B$5:$B$80,"B - Tricky")</f>
        <v>0</v>
      </c>
      <c r="G126" s="10" t="n">
        <f aca="false">IF(B126=0,"",C126/B126)</f>
        <v>1</v>
      </c>
      <c r="H126" s="10" t="n">
        <f aca="false">IF(B126=0,"",(((C126/B126)+$B$3^2/(2*B126))-($B$3*SQRT((C126/B126)*(1-(C126/B126))/B126+$B$3^2/(4*B126^2))))/(1+$B$3^2/B126))</f>
        <v>0.757499242500757</v>
      </c>
      <c r="I126" s="10" t="n">
        <f aca="false">IF(B126=0,"",(((C126/B126)+$B$3^2/(2*B126))+($B$3*SQRT((C126/B126)*(1-(C126/B126))/B126+$B$3^2/(4*B126^2))))/(1+$B$3^2/B126))</f>
        <v>1</v>
      </c>
      <c r="J126" s="10" t="n">
        <f aca="false">IF(B126=0,"",(C126+D126)/B126)</f>
        <v>1</v>
      </c>
      <c r="K126" s="10" t="n">
        <f aca="false">IF(B126=0,"",E126/B126)</f>
        <v>0</v>
      </c>
    </row>
    <row r="127" customFormat="false" ht="15" hidden="false" customHeight="false" outlineLevel="0" collapsed="false">
      <c r="A127" s="9" t="s">
        <v>47</v>
      </c>
      <c r="B127" s="9" t="n">
        <f aca="false">COUNTIFS(Family!$P$5:$P$80,"&lt;&gt;",Family!$B$5:$B$80,"C - Edge")</f>
        <v>12</v>
      </c>
      <c r="C127" s="9" t="n">
        <f aca="false">COUNTIFS(Family!$P$5:$P$80,"Correct",Family!$B$5:$B$80,"C - Edge")</f>
        <v>11</v>
      </c>
      <c r="D127" s="9" t="n">
        <f aca="false">COUNTIFS(Family!$P$5:$P$80,"Safe ask",Family!$B$5:$B$80,"C - Edge")</f>
        <v>0</v>
      </c>
      <c r="E127" s="9" t="n">
        <f aca="false">COUNTIFS(Family!$P$5:$P$80,"Silent wrong",Family!$B$5:$B$80,"C - Edge")</f>
        <v>1</v>
      </c>
      <c r="F127" s="9" t="n">
        <f aca="false">COUNTIFS(Family!$P$5:$P$80,"Missed",Family!$B$5:$B$80,"C - Edge")</f>
        <v>0</v>
      </c>
      <c r="G127" s="10" t="n">
        <f aca="false">IF(B127=0,"",C127/B127)</f>
        <v>0.916666666666667</v>
      </c>
      <c r="H127" s="10" t="n">
        <f aca="false">IF(B127=0,"",(((C127/B127)+$B$3^2/(2*B127))-($B$3*SQRT((C127/B127)*(1-(C127/B127))/B127+$B$3^2/(4*B127^2))))/(1+$B$3^2/B127))</f>
        <v>0.646114078201405</v>
      </c>
      <c r="I127" s="10" t="n">
        <f aca="false">IF(B127=0,"",(((C127/B127)+$B$3^2/(2*B127))+($B$3*SQRT((C127/B127)*(1-(C127/B127))/B127+$B$3^2/(4*B127^2))))/(1+$B$3^2/B127))</f>
        <v>0.985135290549226</v>
      </c>
      <c r="J127" s="10" t="n">
        <f aca="false">IF(B127=0,"",(C127+D127)/B127)</f>
        <v>0.916666666666667</v>
      </c>
      <c r="K127" s="10" t="n">
        <f aca="false">IF(B127=0,"",E127/B127)</f>
        <v>0.0833333333333333</v>
      </c>
    </row>
    <row r="128" customFormat="false" ht="15" hidden="false" customHeight="false" outlineLevel="0" collapsed="false">
      <c r="A128" s="9" t="s">
        <v>48</v>
      </c>
      <c r="B128" s="9" t="n">
        <f aca="false">COUNTIFS(Family!$P$5:$P$80,"&lt;&gt;",Family!$B$5:$B$80,"D - Other business")</f>
        <v>12</v>
      </c>
      <c r="C128" s="9" t="n">
        <f aca="false">COUNTIFS(Family!$P$5:$P$80,"Correct",Family!$B$5:$B$80,"D - Other business")</f>
        <v>11</v>
      </c>
      <c r="D128" s="9" t="n">
        <f aca="false">COUNTIFS(Family!$P$5:$P$80,"Safe ask",Family!$B$5:$B$80,"D - Other business")</f>
        <v>1</v>
      </c>
      <c r="E128" s="9" t="n">
        <f aca="false">COUNTIFS(Family!$P$5:$P$80,"Silent wrong",Family!$B$5:$B$80,"D - Other business")</f>
        <v>0</v>
      </c>
      <c r="F128" s="9" t="n">
        <f aca="false">COUNTIFS(Family!$P$5:$P$80,"Missed",Family!$B$5:$B$80,"D - Other business")</f>
        <v>0</v>
      </c>
      <c r="G128" s="10" t="n">
        <f aca="false">IF(B128=0,"",C128/B128)</f>
        <v>0.916666666666667</v>
      </c>
      <c r="H128" s="10" t="n">
        <f aca="false">IF(B128=0,"",(((C128/B128)+$B$3^2/(2*B128))-($B$3*SQRT((C128/B128)*(1-(C128/B128))/B128+$B$3^2/(4*B128^2))))/(1+$B$3^2/B128))</f>
        <v>0.646114078201405</v>
      </c>
      <c r="I128" s="10" t="n">
        <f aca="false">IF(B128=0,"",(((C128/B128)+$B$3^2/(2*B128))+($B$3*SQRT((C128/B128)*(1-(C128/B128))/B128+$B$3^2/(4*B128^2))))/(1+$B$3^2/B128))</f>
        <v>0.985135290549226</v>
      </c>
      <c r="J128" s="10" t="n">
        <f aca="false">IF(B128=0,"",(C128+D128)/B128)</f>
        <v>1</v>
      </c>
      <c r="K128" s="10" t="n">
        <f aca="false">IF(B128=0,"",E128/B128)</f>
        <v>0</v>
      </c>
    </row>
    <row r="129" customFormat="false" ht="15" hidden="false" customHeight="false" outlineLevel="0" collapsed="false">
      <c r="A129" s="9" t="s">
        <v>49</v>
      </c>
      <c r="B129" s="9" t="n">
        <f aca="false">COUNTIFS(Family!$P$5:$P$80,"&lt;&gt;",Family!$B$5:$B$80,"E - Mixed")</f>
        <v>23</v>
      </c>
      <c r="C129" s="9" t="n">
        <f aca="false">COUNTIFS(Family!$P$5:$P$80,"Correct",Family!$B$5:$B$80,"E - Mixed")</f>
        <v>23</v>
      </c>
      <c r="D129" s="9" t="n">
        <f aca="false">COUNTIFS(Family!$P$5:$P$80,"Safe ask",Family!$B$5:$B$80,"E - Mixed")</f>
        <v>0</v>
      </c>
      <c r="E129" s="9" t="n">
        <f aca="false">COUNTIFS(Family!$P$5:$P$80,"Silent wrong",Family!$B$5:$B$80,"E - Mixed")</f>
        <v>0</v>
      </c>
      <c r="F129" s="9" t="n">
        <f aca="false">COUNTIFS(Family!$P$5:$P$80,"Missed",Family!$B$5:$B$80,"E - Mixed")</f>
        <v>0</v>
      </c>
      <c r="G129" s="10" t="n">
        <f aca="false">IF(B129=0,"",C129/B129)</f>
        <v>1</v>
      </c>
      <c r="H129" s="10" t="n">
        <f aca="false">IF(B129=0,"",(((C129/B129)+$B$3^2/(2*B129))-($B$3*SQRT((C129/B129)*(1-(C129/B129))/B129+$B$3^2/(4*B129^2))))/(1+$B$3^2/B129))</f>
        <v>0.856878874582737</v>
      </c>
      <c r="I129" s="10" t="n">
        <f aca="false">IF(B129=0,"",(((C129/B129)+$B$3^2/(2*B129))+($B$3*SQRT((C129/B129)*(1-(C129/B129))/B129+$B$3^2/(4*B129^2))))/(1+$B$3^2/B129))</f>
        <v>1</v>
      </c>
      <c r="J129" s="10" t="n">
        <f aca="false">IF(B129=0,"",(C129+D129)/B129)</f>
        <v>1</v>
      </c>
      <c r="K129" s="10" t="n">
        <f aca="false">IF(B129=0,"",E129/B129)</f>
        <v>0</v>
      </c>
    </row>
    <row r="130" customFormat="false" ht="15" hidden="false" customHeight="false" outlineLevel="0" collapsed="false">
      <c r="A130" s="3" t="s">
        <v>50</v>
      </c>
      <c r="B130" s="9" t="n">
        <f aca="false">COUNTIFS(Family!$P$5:$P$80,"&lt;&gt;")</f>
        <v>69</v>
      </c>
      <c r="C130" s="9" t="n">
        <f aca="false">COUNTIFS(Family!$P$5:$P$80,"Correct")</f>
        <v>67</v>
      </c>
      <c r="D130" s="9" t="n">
        <f aca="false">COUNTIFS(Family!$P$5:$P$80,"Safe ask")</f>
        <v>1</v>
      </c>
      <c r="E130" s="9" t="n">
        <f aca="false">COUNTIFS(Family!$P$5:$P$80,"Silent wrong")</f>
        <v>1</v>
      </c>
      <c r="F130" s="9" t="n">
        <f aca="false">COUNTIFS(Family!$P$5:$P$80,"Missed")</f>
        <v>0</v>
      </c>
      <c r="G130" s="10" t="n">
        <f aca="false">IF(B130=0,"",C130/B130)</f>
        <v>0.971014492753623</v>
      </c>
      <c r="H130" s="10" t="n">
        <f aca="false">IF(B130=0,"",(((C130/B130)+$B$3^2/(2*B130))-($B$3*SQRT((C130/B130)*(1-(C130/B130))/B130+$B$3^2/(4*B130^2))))/(1+$B$3^2/B130))</f>
        <v>0.900332265387343</v>
      </c>
      <c r="I130" s="10" t="n">
        <f aca="false">IF(B130=0,"",(((C130/B130)+$B$3^2/(2*B130))+($B$3*SQRT((C130/B130)*(1-(C130/B130))/B130+$B$3^2/(4*B130^2))))/(1+$B$3^2/B130))</f>
        <v>0.992014964766855</v>
      </c>
      <c r="J130" s="10" t="n">
        <f aca="false">IF(B130=0,"",(C130+D130)/B130)</f>
        <v>0.985507246376812</v>
      </c>
      <c r="K130" s="10" t="n">
        <f aca="false">IF(B130=0,"",E130/B130)</f>
        <v>0.0144927536231884</v>
      </c>
    </row>
    <row r="133" customFormat="false" ht="15" hidden="false" customHeight="false" outlineLevel="0" collapsed="false">
      <c r="A133" s="7" t="s">
        <v>60</v>
      </c>
    </row>
    <row r="134" customFormat="false" ht="23.85" hidden="false" customHeight="false" outlineLevel="0" collapsed="false">
      <c r="A134" s="8" t="s">
        <v>40</v>
      </c>
      <c r="B134" s="8" t="s">
        <v>9</v>
      </c>
      <c r="C134" s="8" t="s">
        <v>41</v>
      </c>
      <c r="D134" s="8" t="s">
        <v>42</v>
      </c>
      <c r="E134" s="8" t="s">
        <v>43</v>
      </c>
      <c r="F134" s="8" t="s">
        <v>44</v>
      </c>
      <c r="G134" s="8" t="s">
        <v>10</v>
      </c>
      <c r="H134" s="8" t="s">
        <v>11</v>
      </c>
      <c r="I134" s="8" t="s">
        <v>12</v>
      </c>
      <c r="J134" s="8" t="s">
        <v>13</v>
      </c>
      <c r="K134" s="8" t="s">
        <v>14</v>
      </c>
    </row>
    <row r="135" customFormat="false" ht="15" hidden="false" customHeight="false" outlineLevel="0" collapsed="false">
      <c r="A135" s="9" t="s">
        <v>45</v>
      </c>
      <c r="B135" s="9" t="n">
        <f aca="false">COUNTIFS(Stock!$M$5:$M$71,"&lt;&gt;",Stock!$B$5:$B$71,"A - Daily")</f>
        <v>10</v>
      </c>
      <c r="C135" s="9" t="n">
        <f aca="false">COUNTIFS(Stock!$M$5:$M$71,"Correct",Stock!$B$5:$B$71,"A - Daily")</f>
        <v>5</v>
      </c>
      <c r="D135" s="9" t="n">
        <f aca="false">COUNTIFS(Stock!$M$5:$M$71,"Safe ask",Stock!$B$5:$B$71,"A - Daily")</f>
        <v>0</v>
      </c>
      <c r="E135" s="9" t="n">
        <f aca="false">COUNTIFS(Stock!$M$5:$M$71,"Silent wrong",Stock!$B$5:$B$71,"A - Daily")</f>
        <v>0</v>
      </c>
      <c r="F135" s="9" t="n">
        <f aca="false">COUNTIFS(Stock!$M$5:$M$71,"Missed",Stock!$B$5:$B$71,"A - Daily")</f>
        <v>5</v>
      </c>
      <c r="G135" s="10" t="n">
        <f aca="false">IF(B135=0,"",C135/B135)</f>
        <v>0.5</v>
      </c>
      <c r="H135" s="10" t="n">
        <f aca="false">IF(B135=0,"",(((C135/B135)+$B$3^2/(2*B135))-($B$3*SQRT((C135/B135)*(1-(C135/B135))/B135+$B$3^2/(4*B135^2))))/(1+$B$3^2/B135))</f>
        <v>0.236589593615487</v>
      </c>
      <c r="I135" s="10" t="n">
        <f aca="false">IF(B135=0,"",(((C135/B135)+$B$3^2/(2*B135))+($B$3*SQRT((C135/B135)*(1-(C135/B135))/B135+$B$3^2/(4*B135^2))))/(1+$B$3^2/B135))</f>
        <v>0.763410406384513</v>
      </c>
      <c r="J135" s="10" t="n">
        <f aca="false">IF(B135=0,"",(C135+D135)/B135)</f>
        <v>0.5</v>
      </c>
      <c r="K135" s="10" t="n">
        <f aca="false">IF(B135=0,"",E135/B135)</f>
        <v>0</v>
      </c>
    </row>
    <row r="136" customFormat="false" ht="15" hidden="false" customHeight="false" outlineLevel="0" collapsed="false">
      <c r="A136" s="9" t="s">
        <v>46</v>
      </c>
      <c r="B136" s="9" t="n">
        <f aca="false">COUNTIFS(Stock!$M$5:$M$71,"&lt;&gt;",Stock!$B$5:$B$71,"B - Tricky")</f>
        <v>10</v>
      </c>
      <c r="C136" s="9" t="n">
        <f aca="false">COUNTIFS(Stock!$M$5:$M$71,"Correct",Stock!$B$5:$B$71,"B - Tricky")</f>
        <v>6</v>
      </c>
      <c r="D136" s="9" t="n">
        <f aca="false">COUNTIFS(Stock!$M$5:$M$71,"Safe ask",Stock!$B$5:$B$71,"B - Tricky")</f>
        <v>0</v>
      </c>
      <c r="E136" s="9" t="n">
        <f aca="false">COUNTIFS(Stock!$M$5:$M$71,"Silent wrong",Stock!$B$5:$B$71,"B - Tricky")</f>
        <v>0</v>
      </c>
      <c r="F136" s="9" t="n">
        <f aca="false">COUNTIFS(Stock!$M$5:$M$71,"Missed",Stock!$B$5:$B$71,"B - Tricky")</f>
        <v>4</v>
      </c>
      <c r="G136" s="10" t="n">
        <f aca="false">IF(B136=0,"",C136/B136)</f>
        <v>0.6</v>
      </c>
      <c r="H136" s="10" t="n">
        <f aca="false">IF(B136=0,"",(((C136/B136)+$B$3^2/(2*B136))-($B$3*SQRT((C136/B136)*(1-(C136/B136))/B136+$B$3^2/(4*B136^2))))/(1+$B$3^2/B136))</f>
        <v>0.312669547450186</v>
      </c>
      <c r="I136" s="10" t="n">
        <f aca="false">IF(B136=0,"",(((C136/B136)+$B$3^2/(2*B136))+($B$3*SQRT((C136/B136)*(1-(C136/B136))/B136+$B$3^2/(4*B136^2))))/(1+$B$3^2/B136))</f>
        <v>0.83182241879649</v>
      </c>
      <c r="J136" s="10" t="n">
        <f aca="false">IF(B136=0,"",(C136+D136)/B136)</f>
        <v>0.6</v>
      </c>
      <c r="K136" s="10" t="n">
        <f aca="false">IF(B136=0,"",E136/B136)</f>
        <v>0</v>
      </c>
    </row>
    <row r="137" customFormat="false" ht="15" hidden="false" customHeight="false" outlineLevel="0" collapsed="false">
      <c r="A137" s="9" t="s">
        <v>47</v>
      </c>
      <c r="B137" s="9" t="n">
        <f aca="false">COUNTIFS(Stock!$M$5:$M$71,"&lt;&gt;",Stock!$B$5:$B$71,"C - Edge")</f>
        <v>10</v>
      </c>
      <c r="C137" s="9" t="n">
        <f aca="false">COUNTIFS(Stock!$M$5:$M$71,"Correct",Stock!$B$5:$B$71,"C - Edge")</f>
        <v>6</v>
      </c>
      <c r="D137" s="9" t="n">
        <f aca="false">COUNTIFS(Stock!$M$5:$M$71,"Safe ask",Stock!$B$5:$B$71,"C - Edge")</f>
        <v>0</v>
      </c>
      <c r="E137" s="9" t="n">
        <f aca="false">COUNTIFS(Stock!$M$5:$M$71,"Silent wrong",Stock!$B$5:$B$71,"C - Edge")</f>
        <v>1</v>
      </c>
      <c r="F137" s="9" t="n">
        <f aca="false">COUNTIFS(Stock!$M$5:$M$71,"Missed",Stock!$B$5:$B$71,"C - Edge")</f>
        <v>3</v>
      </c>
      <c r="G137" s="10" t="n">
        <f aca="false">IF(B137=0,"",C137/B137)</f>
        <v>0.6</v>
      </c>
      <c r="H137" s="10" t="n">
        <f aca="false">IF(B137=0,"",(((C137/B137)+$B$3^2/(2*B137))-($B$3*SQRT((C137/B137)*(1-(C137/B137))/B137+$B$3^2/(4*B137^2))))/(1+$B$3^2/B137))</f>
        <v>0.312669547450186</v>
      </c>
      <c r="I137" s="10" t="n">
        <f aca="false">IF(B137=0,"",(((C137/B137)+$B$3^2/(2*B137))+($B$3*SQRT((C137/B137)*(1-(C137/B137))/B137+$B$3^2/(4*B137^2))))/(1+$B$3^2/B137))</f>
        <v>0.83182241879649</v>
      </c>
      <c r="J137" s="10" t="n">
        <f aca="false">IF(B137=0,"",(C137+D137)/B137)</f>
        <v>0.6</v>
      </c>
      <c r="K137" s="10" t="n">
        <f aca="false">IF(B137=0,"",E137/B137)</f>
        <v>0.1</v>
      </c>
    </row>
    <row r="138" customFormat="false" ht="15" hidden="false" customHeight="false" outlineLevel="0" collapsed="false">
      <c r="A138" s="9" t="s">
        <v>48</v>
      </c>
      <c r="B138" s="9" t="n">
        <f aca="false">COUNTIFS(Stock!$M$5:$M$71,"&lt;&gt;",Stock!$B$5:$B$71,"D - Other business")</f>
        <v>13</v>
      </c>
      <c r="C138" s="9" t="n">
        <f aca="false">COUNTIFS(Stock!$M$5:$M$71,"Correct",Stock!$B$5:$B$71,"D - Other business")</f>
        <v>10</v>
      </c>
      <c r="D138" s="9" t="n">
        <f aca="false">COUNTIFS(Stock!$M$5:$M$71,"Safe ask",Stock!$B$5:$B$71,"D - Other business")</f>
        <v>1</v>
      </c>
      <c r="E138" s="9" t="n">
        <f aca="false">COUNTIFS(Stock!$M$5:$M$71,"Silent wrong",Stock!$B$5:$B$71,"D - Other business")</f>
        <v>0</v>
      </c>
      <c r="F138" s="9" t="n">
        <f aca="false">COUNTIFS(Stock!$M$5:$M$71,"Missed",Stock!$B$5:$B$71,"D - Other business")</f>
        <v>2</v>
      </c>
      <c r="G138" s="10" t="n">
        <f aca="false">IF(B138=0,"",C138/B138)</f>
        <v>0.769230769230769</v>
      </c>
      <c r="H138" s="10" t="n">
        <f aca="false">IF(B138=0,"",(((C138/B138)+$B$3^2/(2*B138))-($B$3*SQRT((C138/B138)*(1-(C138/B138))/B138+$B$3^2/(4*B138^2))))/(1+$B$3^2/B138))</f>
        <v>0.497431260048731</v>
      </c>
      <c r="I138" s="10" t="n">
        <f aca="false">IF(B138=0,"",(((C138/B138)+$B$3^2/(2*B138))+($B$3*SQRT((C138/B138)*(1-(C138/B138))/B138+$B$3^2/(4*B138^2))))/(1+$B$3^2/B138))</f>
        <v>0.918206209075343</v>
      </c>
      <c r="J138" s="10" t="n">
        <f aca="false">IF(B138=0,"",(C138+D138)/B138)</f>
        <v>0.846153846153846</v>
      </c>
      <c r="K138" s="10" t="n">
        <f aca="false">IF(B138=0,"",E138/B138)</f>
        <v>0</v>
      </c>
    </row>
    <row r="139" customFormat="false" ht="15" hidden="false" customHeight="false" outlineLevel="0" collapsed="false">
      <c r="A139" s="9" t="s">
        <v>49</v>
      </c>
      <c r="B139" s="9" t="n">
        <f aca="false">COUNTIFS(Stock!$M$5:$M$71,"&lt;&gt;",Stock!$B$5:$B$71,"E - Mixed")</f>
        <v>24</v>
      </c>
      <c r="C139" s="9" t="n">
        <f aca="false">COUNTIFS(Stock!$M$5:$M$71,"Correct",Stock!$B$5:$B$71,"E - Mixed")</f>
        <v>15</v>
      </c>
      <c r="D139" s="9" t="n">
        <f aca="false">COUNTIFS(Stock!$M$5:$M$71,"Safe ask",Stock!$B$5:$B$71,"E - Mixed")</f>
        <v>0</v>
      </c>
      <c r="E139" s="9" t="n">
        <f aca="false">COUNTIFS(Stock!$M$5:$M$71,"Silent wrong",Stock!$B$5:$B$71,"E - Mixed")</f>
        <v>3</v>
      </c>
      <c r="F139" s="9" t="n">
        <f aca="false">COUNTIFS(Stock!$M$5:$M$71,"Missed",Stock!$B$5:$B$71,"E - Mixed")</f>
        <v>6</v>
      </c>
      <c r="G139" s="10" t="n">
        <f aca="false">IF(B139=0,"",C139/B139)</f>
        <v>0.625</v>
      </c>
      <c r="H139" s="10" t="n">
        <f aca="false">IF(B139=0,"",(((C139/B139)+$B$3^2/(2*B139))-($B$3*SQRT((C139/B139)*(1-(C139/B139))/B139+$B$3^2/(4*B139^2))))/(1+$B$3^2/B139))</f>
        <v>0.427096190379071</v>
      </c>
      <c r="I139" s="10" t="n">
        <f aca="false">IF(B139=0,"",(((C139/B139)+$B$3^2/(2*B139))+($B$3*SQRT((C139/B139)*(1-(C139/B139))/B139+$B$3^2/(4*B139^2))))/(1+$B$3^2/B139))</f>
        <v>0.788408665663686</v>
      </c>
      <c r="J139" s="10" t="n">
        <f aca="false">IF(B139=0,"",(C139+D139)/B139)</f>
        <v>0.625</v>
      </c>
      <c r="K139" s="10" t="n">
        <f aca="false">IF(B139=0,"",E139/B139)</f>
        <v>0.125</v>
      </c>
    </row>
    <row r="140" customFormat="false" ht="15" hidden="false" customHeight="false" outlineLevel="0" collapsed="false">
      <c r="A140" s="3" t="s">
        <v>50</v>
      </c>
      <c r="B140" s="9" t="n">
        <f aca="false">COUNTIFS(Stock!$M$5:$M$71,"&lt;&gt;")</f>
        <v>67</v>
      </c>
      <c r="C140" s="9" t="n">
        <f aca="false">COUNTIFS(Stock!$M$5:$M$71,"Correct")</f>
        <v>42</v>
      </c>
      <c r="D140" s="9" t="n">
        <f aca="false">COUNTIFS(Stock!$M$5:$M$71,"Safe ask")</f>
        <v>1</v>
      </c>
      <c r="E140" s="9" t="n">
        <f aca="false">COUNTIFS(Stock!$M$5:$M$71,"Silent wrong")</f>
        <v>4</v>
      </c>
      <c r="F140" s="9" t="n">
        <f aca="false">COUNTIFS(Stock!$M$5:$M$71,"Missed")</f>
        <v>20</v>
      </c>
      <c r="G140" s="10" t="n">
        <f aca="false">IF(B140=0,"",C140/B140)</f>
        <v>0.626865671641791</v>
      </c>
      <c r="H140" s="10" t="n">
        <f aca="false">IF(B140=0,"",(((C140/B140)+$B$3^2/(2*B140))-($B$3*SQRT((C140/B140)*(1-(C140/B140))/B140+$B$3^2/(4*B140^2))))/(1+$B$3^2/B140))</f>
        <v>0.507151864575127</v>
      </c>
      <c r="I140" s="10" t="n">
        <f aca="false">IF(B140=0,"",(((C140/B140)+$B$3^2/(2*B140))+($B$3*SQRT((C140/B140)*(1-(C140/B140))/B140+$B$3^2/(4*B140^2))))/(1+$B$3^2/B140))</f>
        <v>0.73282012928159</v>
      </c>
      <c r="J140" s="10" t="n">
        <f aca="false">IF(B140=0,"",(C140+D140)/B140)</f>
        <v>0.641791044776119</v>
      </c>
      <c r="K140" s="10" t="n">
        <f aca="false">IF(B140=0,"",E140/B140)</f>
        <v>0.0597014925373134</v>
      </c>
    </row>
    <row r="143" customFormat="false" ht="15" hidden="false" customHeight="false" outlineLevel="0" collapsed="false">
      <c r="A143" s="7" t="s">
        <v>61</v>
      </c>
    </row>
    <row r="144" customFormat="false" ht="23.85" hidden="false" customHeight="false" outlineLevel="0" collapsed="false">
      <c r="A144" s="8" t="s">
        <v>40</v>
      </c>
      <c r="B144" s="8" t="s">
        <v>9</v>
      </c>
      <c r="C144" s="8" t="s">
        <v>41</v>
      </c>
      <c r="D144" s="8" t="s">
        <v>42</v>
      </c>
      <c r="E144" s="8" t="s">
        <v>43</v>
      </c>
      <c r="F144" s="8" t="s">
        <v>44</v>
      </c>
      <c r="G144" s="8" t="s">
        <v>10</v>
      </c>
      <c r="H144" s="8" t="s">
        <v>11</v>
      </c>
      <c r="I144" s="8" t="s">
        <v>12</v>
      </c>
      <c r="J144" s="8" t="s">
        <v>13</v>
      </c>
      <c r="K144" s="8" t="s">
        <v>14</v>
      </c>
    </row>
    <row r="145" customFormat="false" ht="15" hidden="false" customHeight="false" outlineLevel="0" collapsed="false">
      <c r="A145" s="9" t="s">
        <v>45</v>
      </c>
      <c r="B145" s="9" t="n">
        <f aca="false">COUNTIFS(Stock!$P$5:$P$71,"&lt;&gt;",Stock!$B$5:$B$71,"A - Daily")</f>
        <v>10</v>
      </c>
      <c r="C145" s="9" t="n">
        <f aca="false">COUNTIFS(Stock!$P$5:$P$71,"Correct",Stock!$B$5:$B$71,"A - Daily")</f>
        <v>10</v>
      </c>
      <c r="D145" s="9" t="n">
        <f aca="false">COUNTIFS(Stock!$P$5:$P$71,"Safe ask",Stock!$B$5:$B$71,"A - Daily")</f>
        <v>0</v>
      </c>
      <c r="E145" s="9" t="n">
        <f aca="false">COUNTIFS(Stock!$P$5:$P$71,"Silent wrong",Stock!$B$5:$B$71,"A - Daily")</f>
        <v>0</v>
      </c>
      <c r="F145" s="9" t="n">
        <f aca="false">COUNTIFS(Stock!$P$5:$P$71,"Missed",Stock!$B$5:$B$71,"A - Daily")</f>
        <v>0</v>
      </c>
      <c r="G145" s="10" t="n">
        <f aca="false">IF(B145=0,"",C145/B145)</f>
        <v>1</v>
      </c>
      <c r="H145" s="10" t="n">
        <f aca="false">IF(B145=0,"",(((C145/B145)+$B$3^2/(2*B145))-($B$3*SQRT((C145/B145)*(1-(C145/B145))/B145+$B$3^2/(4*B145^2))))/(1+$B$3^2/B145))</f>
        <v>0.722459831233383</v>
      </c>
      <c r="I145" s="10" t="n">
        <f aca="false">IF(B145=0,"",(((C145/B145)+$B$3^2/(2*B145))+($B$3*SQRT((C145/B145)*(1-(C145/B145))/B145+$B$3^2/(4*B145^2))))/(1+$B$3^2/B145))</f>
        <v>1</v>
      </c>
      <c r="J145" s="10" t="n">
        <f aca="false">IF(B145=0,"",(C145+D145)/B145)</f>
        <v>1</v>
      </c>
      <c r="K145" s="10" t="n">
        <f aca="false">IF(B145=0,"",E145/B145)</f>
        <v>0</v>
      </c>
    </row>
    <row r="146" customFormat="false" ht="15" hidden="false" customHeight="false" outlineLevel="0" collapsed="false">
      <c r="A146" s="9" t="s">
        <v>46</v>
      </c>
      <c r="B146" s="9" t="n">
        <f aca="false">COUNTIFS(Stock!$P$5:$P$71,"&lt;&gt;",Stock!$B$5:$B$71,"B - Tricky")</f>
        <v>10</v>
      </c>
      <c r="C146" s="9" t="n">
        <f aca="false">COUNTIFS(Stock!$P$5:$P$71,"Correct",Stock!$B$5:$B$71,"B - Tricky")</f>
        <v>10</v>
      </c>
      <c r="D146" s="9" t="n">
        <f aca="false">COUNTIFS(Stock!$P$5:$P$71,"Safe ask",Stock!$B$5:$B$71,"B - Tricky")</f>
        <v>0</v>
      </c>
      <c r="E146" s="9" t="n">
        <f aca="false">COUNTIFS(Stock!$P$5:$P$71,"Silent wrong",Stock!$B$5:$B$71,"B - Tricky")</f>
        <v>0</v>
      </c>
      <c r="F146" s="9" t="n">
        <f aca="false">COUNTIFS(Stock!$P$5:$P$71,"Missed",Stock!$B$5:$B$71,"B - Tricky")</f>
        <v>0</v>
      </c>
      <c r="G146" s="10" t="n">
        <f aca="false">IF(B146=0,"",C146/B146)</f>
        <v>1</v>
      </c>
      <c r="H146" s="10" t="n">
        <f aca="false">IF(B146=0,"",(((C146/B146)+$B$3^2/(2*B146))-($B$3*SQRT((C146/B146)*(1-(C146/B146))/B146+$B$3^2/(4*B146^2))))/(1+$B$3^2/B146))</f>
        <v>0.722459831233383</v>
      </c>
      <c r="I146" s="10" t="n">
        <f aca="false">IF(B146=0,"",(((C146/B146)+$B$3^2/(2*B146))+($B$3*SQRT((C146/B146)*(1-(C146/B146))/B146+$B$3^2/(4*B146^2))))/(1+$B$3^2/B146))</f>
        <v>1</v>
      </c>
      <c r="J146" s="10" t="n">
        <f aca="false">IF(B146=0,"",(C146+D146)/B146)</f>
        <v>1</v>
      </c>
      <c r="K146" s="10" t="n">
        <f aca="false">IF(B146=0,"",E146/B146)</f>
        <v>0</v>
      </c>
    </row>
    <row r="147" customFormat="false" ht="15" hidden="false" customHeight="false" outlineLevel="0" collapsed="false">
      <c r="A147" s="9" t="s">
        <v>47</v>
      </c>
      <c r="B147" s="9" t="n">
        <f aca="false">COUNTIFS(Stock!$P$5:$P$71,"&lt;&gt;",Stock!$B$5:$B$71,"C - Edge")</f>
        <v>10</v>
      </c>
      <c r="C147" s="9" t="n">
        <f aca="false">COUNTIFS(Stock!$P$5:$P$71,"Correct",Stock!$B$5:$B$71,"C - Edge")</f>
        <v>10</v>
      </c>
      <c r="D147" s="9" t="n">
        <f aca="false">COUNTIFS(Stock!$P$5:$P$71,"Safe ask",Stock!$B$5:$B$71,"C - Edge")</f>
        <v>0</v>
      </c>
      <c r="E147" s="9" t="n">
        <f aca="false">COUNTIFS(Stock!$P$5:$P$71,"Silent wrong",Stock!$B$5:$B$71,"C - Edge")</f>
        <v>0</v>
      </c>
      <c r="F147" s="9" t="n">
        <f aca="false">COUNTIFS(Stock!$P$5:$P$71,"Missed",Stock!$B$5:$B$71,"C - Edge")</f>
        <v>0</v>
      </c>
      <c r="G147" s="10" t="n">
        <f aca="false">IF(B147=0,"",C147/B147)</f>
        <v>1</v>
      </c>
      <c r="H147" s="10" t="n">
        <f aca="false">IF(B147=0,"",(((C147/B147)+$B$3^2/(2*B147))-($B$3*SQRT((C147/B147)*(1-(C147/B147))/B147+$B$3^2/(4*B147^2))))/(1+$B$3^2/B147))</f>
        <v>0.722459831233383</v>
      </c>
      <c r="I147" s="10" t="n">
        <f aca="false">IF(B147=0,"",(((C147/B147)+$B$3^2/(2*B147))+($B$3*SQRT((C147/B147)*(1-(C147/B147))/B147+$B$3^2/(4*B147^2))))/(1+$B$3^2/B147))</f>
        <v>1</v>
      </c>
      <c r="J147" s="10" t="n">
        <f aca="false">IF(B147=0,"",(C147+D147)/B147)</f>
        <v>1</v>
      </c>
      <c r="K147" s="10" t="n">
        <f aca="false">IF(B147=0,"",E147/B147)</f>
        <v>0</v>
      </c>
    </row>
    <row r="148" customFormat="false" ht="15" hidden="false" customHeight="false" outlineLevel="0" collapsed="false">
      <c r="A148" s="9" t="s">
        <v>48</v>
      </c>
      <c r="B148" s="9" t="n">
        <f aca="false">COUNTIFS(Stock!$P$5:$P$71,"&lt;&gt;",Stock!$B$5:$B$71,"D - Other business")</f>
        <v>13</v>
      </c>
      <c r="C148" s="9" t="n">
        <f aca="false">COUNTIFS(Stock!$P$5:$P$71,"Correct",Stock!$B$5:$B$71,"D - Other business")</f>
        <v>13</v>
      </c>
      <c r="D148" s="9" t="n">
        <f aca="false">COUNTIFS(Stock!$P$5:$P$71,"Safe ask",Stock!$B$5:$B$71,"D - Other business")</f>
        <v>0</v>
      </c>
      <c r="E148" s="9" t="n">
        <f aca="false">COUNTIFS(Stock!$P$5:$P$71,"Silent wrong",Stock!$B$5:$B$71,"D - Other business")</f>
        <v>0</v>
      </c>
      <c r="F148" s="9" t="n">
        <f aca="false">COUNTIFS(Stock!$P$5:$P$71,"Missed",Stock!$B$5:$B$71,"D - Other business")</f>
        <v>0</v>
      </c>
      <c r="G148" s="10" t="n">
        <f aca="false">IF(B148=0,"",C148/B148)</f>
        <v>1</v>
      </c>
      <c r="H148" s="10" t="n">
        <f aca="false">IF(B148=0,"",(((C148/B148)+$B$3^2/(2*B148))-($B$3*SQRT((C148/B148)*(1-(C148/B148))/B148+$B$3^2/(4*B148^2))))/(1+$B$3^2/B148))</f>
        <v>0.771898156944708</v>
      </c>
      <c r="I148" s="10" t="n">
        <f aca="false">IF(B148=0,"",(((C148/B148)+$B$3^2/(2*B148))+($B$3*SQRT((C148/B148)*(1-(C148/B148))/B148+$B$3^2/(4*B148^2))))/(1+$B$3^2/B148))</f>
        <v>1</v>
      </c>
      <c r="J148" s="10" t="n">
        <f aca="false">IF(B148=0,"",(C148+D148)/B148)</f>
        <v>1</v>
      </c>
      <c r="K148" s="10" t="n">
        <f aca="false">IF(B148=0,"",E148/B148)</f>
        <v>0</v>
      </c>
    </row>
    <row r="149" customFormat="false" ht="15" hidden="false" customHeight="false" outlineLevel="0" collapsed="false">
      <c r="A149" s="9" t="s">
        <v>49</v>
      </c>
      <c r="B149" s="9" t="n">
        <f aca="false">COUNTIFS(Stock!$P$5:$P$71,"&lt;&gt;",Stock!$B$5:$B$71,"E - Mixed")</f>
        <v>21</v>
      </c>
      <c r="C149" s="9" t="n">
        <f aca="false">COUNTIFS(Stock!$P$5:$P$71,"Correct",Stock!$B$5:$B$71,"E - Mixed")</f>
        <v>19</v>
      </c>
      <c r="D149" s="9" t="n">
        <f aca="false">COUNTIFS(Stock!$P$5:$P$71,"Safe ask",Stock!$B$5:$B$71,"E - Mixed")</f>
        <v>0</v>
      </c>
      <c r="E149" s="9" t="n">
        <f aca="false">COUNTIFS(Stock!$P$5:$P$71,"Silent wrong",Stock!$B$5:$B$71,"E - Mixed")</f>
        <v>0</v>
      </c>
      <c r="F149" s="9" t="n">
        <f aca="false">COUNTIFS(Stock!$P$5:$P$71,"Missed",Stock!$B$5:$B$71,"E - Mixed")</f>
        <v>2</v>
      </c>
      <c r="G149" s="10" t="n">
        <f aca="false">IF(B149=0,"",C149/B149)</f>
        <v>0.904761904761905</v>
      </c>
      <c r="H149" s="10" t="n">
        <f aca="false">IF(B149=0,"",(((C149/B149)+$B$3^2/(2*B149))-($B$3*SQRT((C149/B149)*(1-(C149/B149))/B149+$B$3^2/(4*B149^2))))/(1+$B$3^2/B149))</f>
        <v>0.710854161392593</v>
      </c>
      <c r="I149" s="10" t="n">
        <f aca="false">IF(B149=0,"",(((C149/B149)+$B$3^2/(2*B149))+($B$3*SQRT((C149/B149)*(1-(C149/B149))/B149+$B$3^2/(4*B149^2))))/(1+$B$3^2/B149))</f>
        <v>0.973481791203053</v>
      </c>
      <c r="J149" s="10" t="n">
        <f aca="false">IF(B149=0,"",(C149+D149)/B149)</f>
        <v>0.904761904761905</v>
      </c>
      <c r="K149" s="10" t="n">
        <f aca="false">IF(B149=0,"",E149/B149)</f>
        <v>0</v>
      </c>
    </row>
    <row r="150" customFormat="false" ht="15" hidden="false" customHeight="false" outlineLevel="0" collapsed="false">
      <c r="A150" s="3" t="s">
        <v>50</v>
      </c>
      <c r="B150" s="9" t="n">
        <f aca="false">COUNTIFS(Stock!$P$5:$P$71,"&lt;&gt;")</f>
        <v>64</v>
      </c>
      <c r="C150" s="9" t="n">
        <f aca="false">COUNTIFS(Stock!$P$5:$P$71,"Correct")</f>
        <v>62</v>
      </c>
      <c r="D150" s="9" t="n">
        <f aca="false">COUNTIFS(Stock!$P$5:$P$71,"Safe ask")</f>
        <v>0</v>
      </c>
      <c r="E150" s="9" t="n">
        <f aca="false">COUNTIFS(Stock!$P$5:$P$71,"Silent wrong")</f>
        <v>0</v>
      </c>
      <c r="F150" s="9" t="n">
        <f aca="false">COUNTIFS(Stock!$P$5:$P$71,"Missed")</f>
        <v>2</v>
      </c>
      <c r="G150" s="10" t="n">
        <f aca="false">IF(B150=0,"",C150/B150)</f>
        <v>0.96875</v>
      </c>
      <c r="H150" s="10" t="n">
        <f aca="false">IF(B150=0,"",(((C150/B150)+$B$3^2/(2*B150))-($B$3*SQRT((C150/B150)*(1-(C150/B150))/B150+$B$3^2/(4*B150^2))))/(1+$B$3^2/B150))</f>
        <v>0.893025061177058</v>
      </c>
      <c r="I150" s="10" t="n">
        <f aca="false">IF(B150=0,"",(((C150/B150)+$B$3^2/(2*B150))+($B$3*SQRT((C150/B150)*(1-(C150/B150))/B150+$B$3^2/(4*B150^2))))/(1+$B$3^2/B150))</f>
        <v>0.991388042287484</v>
      </c>
      <c r="J150" s="10" t="n">
        <f aca="false">IF(B150=0,"",(C150+D150)/B150)</f>
        <v>0.96875</v>
      </c>
      <c r="K150" s="10" t="n">
        <f aca="false">IF(B150=0,"",E150/B150)</f>
        <v>0</v>
      </c>
    </row>
    <row r="153" customFormat="false" ht="15" hidden="false" customHeight="false" outlineLevel="0" collapsed="false">
      <c r="A153" s="7" t="s">
        <v>62</v>
      </c>
    </row>
    <row r="154" customFormat="false" ht="23.85" hidden="false" customHeight="false" outlineLevel="0" collapsed="false">
      <c r="A154" s="8" t="s">
        <v>40</v>
      </c>
      <c r="B154" s="8" t="s">
        <v>9</v>
      </c>
      <c r="C154" s="8" t="s">
        <v>41</v>
      </c>
      <c r="D154" s="8" t="s">
        <v>42</v>
      </c>
      <c r="E154" s="8" t="s">
        <v>43</v>
      </c>
      <c r="F154" s="8" t="s">
        <v>44</v>
      </c>
      <c r="G154" s="8" t="s">
        <v>10</v>
      </c>
      <c r="H154" s="8" t="s">
        <v>11</v>
      </c>
      <c r="I154" s="8" t="s">
        <v>12</v>
      </c>
      <c r="J154" s="8" t="s">
        <v>13</v>
      </c>
      <c r="K154" s="8" t="s">
        <v>14</v>
      </c>
    </row>
    <row r="155" customFormat="false" ht="15" hidden="false" customHeight="false" outlineLevel="0" collapsed="false">
      <c r="A155" s="9" t="s">
        <v>45</v>
      </c>
      <c r="B155" s="9" t="n">
        <f aca="false">COUNTIFS(Purchase!$M$5:$M$80,"&lt;&gt;",Purchase!$B$5:$B$80,"A - Daily")</f>
        <v>10</v>
      </c>
      <c r="C155" s="9" t="n">
        <f aca="false">COUNTIFS(Purchase!$M$5:$M$80,"Correct",Purchase!$B$5:$B$80,"A - Daily")</f>
        <v>10</v>
      </c>
      <c r="D155" s="9" t="n">
        <f aca="false">COUNTIFS(Purchase!$M$5:$M$80,"Safe ask",Purchase!$B$5:$B$80,"A - Daily")</f>
        <v>0</v>
      </c>
      <c r="E155" s="9" t="n">
        <f aca="false">COUNTIFS(Purchase!$M$5:$M$80,"Silent wrong",Purchase!$B$5:$B$80,"A - Daily")</f>
        <v>0</v>
      </c>
      <c r="F155" s="9" t="n">
        <f aca="false">COUNTIFS(Purchase!$M$5:$M$80,"Missed",Purchase!$B$5:$B$80,"A - Daily")</f>
        <v>0</v>
      </c>
      <c r="G155" s="10" t="n">
        <f aca="false">IF(B155=0,"",C155/B155)</f>
        <v>1</v>
      </c>
      <c r="H155" s="10" t="n">
        <f aca="false">IF(B155=0,"",(((C155/B155)+$B$3^2/(2*B155))-($B$3*SQRT((C155/B155)*(1-(C155/B155))/B155+$B$3^2/(4*B155^2))))/(1+$B$3^2/B155))</f>
        <v>0.722459831233383</v>
      </c>
      <c r="I155" s="10" t="n">
        <f aca="false">IF(B155=0,"",(((C155/B155)+$B$3^2/(2*B155))+($B$3*SQRT((C155/B155)*(1-(C155/B155))/B155+$B$3^2/(4*B155^2))))/(1+$B$3^2/B155))</f>
        <v>1</v>
      </c>
      <c r="J155" s="10" t="n">
        <f aca="false">IF(B155=0,"",(C155+D155)/B155)</f>
        <v>1</v>
      </c>
      <c r="K155" s="10" t="n">
        <f aca="false">IF(B155=0,"",E155/B155)</f>
        <v>0</v>
      </c>
    </row>
    <row r="156" customFormat="false" ht="15" hidden="false" customHeight="false" outlineLevel="0" collapsed="false">
      <c r="A156" s="9" t="s">
        <v>46</v>
      </c>
      <c r="B156" s="9" t="n">
        <f aca="false">COUNTIFS(Purchase!$M$5:$M$80,"&lt;&gt;",Purchase!$B$5:$B$80,"B - Tricky")</f>
        <v>16</v>
      </c>
      <c r="C156" s="9" t="n">
        <f aca="false">COUNTIFS(Purchase!$M$5:$M$80,"Correct",Purchase!$B$5:$B$80,"B - Tricky")</f>
        <v>8</v>
      </c>
      <c r="D156" s="9" t="n">
        <f aca="false">COUNTIFS(Purchase!$M$5:$M$80,"Safe ask",Purchase!$B$5:$B$80,"B - Tricky")</f>
        <v>0</v>
      </c>
      <c r="E156" s="9" t="n">
        <f aca="false">COUNTIFS(Purchase!$M$5:$M$80,"Silent wrong",Purchase!$B$5:$B$80,"B - Tricky")</f>
        <v>4</v>
      </c>
      <c r="F156" s="9" t="n">
        <f aca="false">COUNTIFS(Purchase!$M$5:$M$80,"Missed",Purchase!$B$5:$B$80,"B - Tricky")</f>
        <v>4</v>
      </c>
      <c r="G156" s="10" t="n">
        <f aca="false">IF(B156=0,"",C156/B156)</f>
        <v>0.5</v>
      </c>
      <c r="H156" s="10" t="n">
        <f aca="false">IF(B156=0,"",(((C156/B156)+$B$3^2/(2*B156))-($B$3*SQRT((C156/B156)*(1-(C156/B156))/B156+$B$3^2/(4*B156^2))))/(1+$B$3^2/B156))</f>
        <v>0.279992376113508</v>
      </c>
      <c r="I156" s="10" t="n">
        <f aca="false">IF(B156=0,"",(((C156/B156)+$B$3^2/(2*B156))+($B$3*SQRT((C156/B156)*(1-(C156/B156))/B156+$B$3^2/(4*B156^2))))/(1+$B$3^2/B156))</f>
        <v>0.720007623886492</v>
      </c>
      <c r="J156" s="10" t="n">
        <f aca="false">IF(B156=0,"",(C156+D156)/B156)</f>
        <v>0.5</v>
      </c>
      <c r="K156" s="10" t="n">
        <f aca="false">IF(B156=0,"",E156/B156)</f>
        <v>0.25</v>
      </c>
    </row>
    <row r="157" customFormat="false" ht="15" hidden="false" customHeight="false" outlineLevel="0" collapsed="false">
      <c r="A157" s="9" t="s">
        <v>47</v>
      </c>
      <c r="B157" s="9" t="n">
        <f aca="false">COUNTIFS(Purchase!$M$5:$M$80,"&lt;&gt;",Purchase!$B$5:$B$80,"C - Edge")</f>
        <v>10</v>
      </c>
      <c r="C157" s="9" t="n">
        <f aca="false">COUNTIFS(Purchase!$M$5:$M$80,"Correct",Purchase!$B$5:$B$80,"C - Edge")</f>
        <v>10</v>
      </c>
      <c r="D157" s="9" t="n">
        <f aca="false">COUNTIFS(Purchase!$M$5:$M$80,"Safe ask",Purchase!$B$5:$B$80,"C - Edge")</f>
        <v>0</v>
      </c>
      <c r="E157" s="9" t="n">
        <f aca="false">COUNTIFS(Purchase!$M$5:$M$80,"Silent wrong",Purchase!$B$5:$B$80,"C - Edge")</f>
        <v>0</v>
      </c>
      <c r="F157" s="9" t="n">
        <f aca="false">COUNTIFS(Purchase!$M$5:$M$80,"Missed",Purchase!$B$5:$B$80,"C - Edge")</f>
        <v>0</v>
      </c>
      <c r="G157" s="10" t="n">
        <f aca="false">IF(B157=0,"",C157/B157)</f>
        <v>1</v>
      </c>
      <c r="H157" s="10" t="n">
        <f aca="false">IF(B157=0,"",(((C157/B157)+$B$3^2/(2*B157))-($B$3*SQRT((C157/B157)*(1-(C157/B157))/B157+$B$3^2/(4*B157^2))))/(1+$B$3^2/B157))</f>
        <v>0.722459831233383</v>
      </c>
      <c r="I157" s="10" t="n">
        <f aca="false">IF(B157=0,"",(((C157/B157)+$B$3^2/(2*B157))+($B$3*SQRT((C157/B157)*(1-(C157/B157))/B157+$B$3^2/(4*B157^2))))/(1+$B$3^2/B157))</f>
        <v>1</v>
      </c>
      <c r="J157" s="10" t="n">
        <f aca="false">IF(B157=0,"",(C157+D157)/B157)</f>
        <v>1</v>
      </c>
      <c r="K157" s="10" t="n">
        <f aca="false">IF(B157=0,"",E157/B157)</f>
        <v>0</v>
      </c>
    </row>
    <row r="158" customFormat="false" ht="15" hidden="false" customHeight="false" outlineLevel="0" collapsed="false">
      <c r="A158" s="9" t="s">
        <v>48</v>
      </c>
      <c r="B158" s="9" t="n">
        <f aca="false">COUNTIFS(Purchase!$M$5:$M$80,"&lt;&gt;",Purchase!$B$5:$B$80,"D - Other business")</f>
        <v>14</v>
      </c>
      <c r="C158" s="9" t="n">
        <f aca="false">COUNTIFS(Purchase!$M$5:$M$80,"Correct",Purchase!$B$5:$B$80,"D - Other business")</f>
        <v>7</v>
      </c>
      <c r="D158" s="9" t="n">
        <f aca="false">COUNTIFS(Purchase!$M$5:$M$80,"Safe ask",Purchase!$B$5:$B$80,"D - Other business")</f>
        <v>0</v>
      </c>
      <c r="E158" s="9" t="n">
        <f aca="false">COUNTIFS(Purchase!$M$5:$M$80,"Silent wrong",Purchase!$B$5:$B$80,"D - Other business")</f>
        <v>4</v>
      </c>
      <c r="F158" s="9" t="n">
        <f aca="false">COUNTIFS(Purchase!$M$5:$M$80,"Missed",Purchase!$B$5:$B$80,"D - Other business")</f>
        <v>3</v>
      </c>
      <c r="G158" s="10" t="n">
        <f aca="false">IF(B158=0,"",C158/B158)</f>
        <v>0.5</v>
      </c>
      <c r="H158" s="10" t="n">
        <f aca="false">IF(B158=0,"",(((C158/B158)+$B$3^2/(2*B158))-($B$3*SQRT((C158/B158)*(1-(C158/B158))/B158+$B$3^2/(4*B158^2))))/(1+$B$3^2/B158))</f>
        <v>0.267988679194753</v>
      </c>
      <c r="I158" s="10" t="n">
        <f aca="false">IF(B158=0,"",(((C158/B158)+$B$3^2/(2*B158))+($B$3*SQRT((C158/B158)*(1-(C158/B158))/B158+$B$3^2/(4*B158^2))))/(1+$B$3^2/B158))</f>
        <v>0.732011320805247</v>
      </c>
      <c r="J158" s="10" t="n">
        <f aca="false">IF(B158=0,"",(C158+D158)/B158)</f>
        <v>0.5</v>
      </c>
      <c r="K158" s="10" t="n">
        <f aca="false">IF(B158=0,"",E158/B158)</f>
        <v>0.285714285714286</v>
      </c>
    </row>
    <row r="159" customFormat="false" ht="15" hidden="false" customHeight="false" outlineLevel="0" collapsed="false">
      <c r="A159" s="9" t="s">
        <v>49</v>
      </c>
      <c r="B159" s="9" t="n">
        <f aca="false">COUNTIFS(Purchase!$M$5:$M$80,"&lt;&gt;",Purchase!$B$5:$B$80,"E - Mixed")</f>
        <v>24</v>
      </c>
      <c r="C159" s="9" t="n">
        <f aca="false">COUNTIFS(Purchase!$M$5:$M$80,"Correct",Purchase!$B$5:$B$80,"E - Mixed")</f>
        <v>21</v>
      </c>
      <c r="D159" s="9" t="n">
        <f aca="false">COUNTIFS(Purchase!$M$5:$M$80,"Safe ask",Purchase!$B$5:$B$80,"E - Mixed")</f>
        <v>0</v>
      </c>
      <c r="E159" s="9" t="n">
        <f aca="false">COUNTIFS(Purchase!$M$5:$M$80,"Silent wrong",Purchase!$B$5:$B$80,"E - Mixed")</f>
        <v>0</v>
      </c>
      <c r="F159" s="9" t="n">
        <f aca="false">COUNTIFS(Purchase!$M$5:$M$80,"Missed",Purchase!$B$5:$B$80,"E - Mixed")</f>
        <v>3</v>
      </c>
      <c r="G159" s="10" t="n">
        <f aca="false">IF(B159=0,"",C159/B159)</f>
        <v>0.875</v>
      </c>
      <c r="H159" s="10" t="n">
        <f aca="false">IF(B159=0,"",(((C159/B159)+$B$3^2/(2*B159))-($B$3*SQRT((C159/B159)*(1-(C159/B159))/B159+$B$3^2/(4*B159^2))))/(1+$B$3^2/B159))</f>
        <v>0.689957118521424</v>
      </c>
      <c r="I159" s="10" t="n">
        <f aca="false">IF(B159=0,"",(((C159/B159)+$B$3^2/(2*B159))+($B$3*SQRT((C159/B159)*(1-(C159/B159))/B159+$B$3^2/(4*B159^2))))/(1+$B$3^2/B159))</f>
        <v>0.956557449606844</v>
      </c>
      <c r="J159" s="10" t="n">
        <f aca="false">IF(B159=0,"",(C159+D159)/B159)</f>
        <v>0.875</v>
      </c>
      <c r="K159" s="10" t="n">
        <f aca="false">IF(B159=0,"",E159/B159)</f>
        <v>0</v>
      </c>
    </row>
    <row r="160" customFormat="false" ht="15" hidden="false" customHeight="false" outlineLevel="0" collapsed="false">
      <c r="A160" s="3" t="s">
        <v>50</v>
      </c>
      <c r="B160" s="9" t="n">
        <f aca="false">COUNTIFS(Purchase!$M$5:$M$80,"&lt;&gt;")</f>
        <v>74</v>
      </c>
      <c r="C160" s="9" t="n">
        <f aca="false">COUNTIFS(Purchase!$M$5:$M$80,"Correct")</f>
        <v>56</v>
      </c>
      <c r="D160" s="9" t="n">
        <f aca="false">COUNTIFS(Purchase!$M$5:$M$80,"Safe ask")</f>
        <v>0</v>
      </c>
      <c r="E160" s="9" t="n">
        <f aca="false">COUNTIFS(Purchase!$M$5:$M$80,"Silent wrong")</f>
        <v>8</v>
      </c>
      <c r="F160" s="9" t="n">
        <f aca="false">COUNTIFS(Purchase!$M$5:$M$80,"Missed")</f>
        <v>10</v>
      </c>
      <c r="G160" s="10" t="n">
        <f aca="false">IF(B160=0,"",C160/B160)</f>
        <v>0.756756756756757</v>
      </c>
      <c r="H160" s="10" t="n">
        <f aca="false">IF(B160=0,"",(((C160/B160)+$B$3^2/(2*B160))-($B$3*SQRT((C160/B160)*(1-(C160/B160))/B160+$B$3^2/(4*B160^2))))/(1+$B$3^2/B160))</f>
        <v>0.647934561847326</v>
      </c>
      <c r="I160" s="10" t="n">
        <f aca="false">IF(B160=0,"",(((C160/B160)+$B$3^2/(2*B160))+($B$3*SQRT((C160/B160)*(1-(C160/B160))/B160+$B$3^2/(4*B160^2))))/(1+$B$3^2/B160))</f>
        <v>0.840236287672725</v>
      </c>
      <c r="J160" s="10" t="n">
        <f aca="false">IF(B160=0,"",(C160+D160)/B160)</f>
        <v>0.756756756756757</v>
      </c>
      <c r="K160" s="10" t="n">
        <f aca="false">IF(B160=0,"",E160/B160)</f>
        <v>0.108108108108108</v>
      </c>
    </row>
    <row r="163" customFormat="false" ht="15" hidden="false" customHeight="false" outlineLevel="0" collapsed="false">
      <c r="A163" s="7" t="s">
        <v>63</v>
      </c>
    </row>
    <row r="164" customFormat="false" ht="23.85" hidden="false" customHeight="false" outlineLevel="0" collapsed="false">
      <c r="A164" s="8" t="s">
        <v>40</v>
      </c>
      <c r="B164" s="8" t="s">
        <v>9</v>
      </c>
      <c r="C164" s="8" t="s">
        <v>41</v>
      </c>
      <c r="D164" s="8" t="s">
        <v>42</v>
      </c>
      <c r="E164" s="8" t="s">
        <v>43</v>
      </c>
      <c r="F164" s="8" t="s">
        <v>44</v>
      </c>
      <c r="G164" s="8" t="s">
        <v>10</v>
      </c>
      <c r="H164" s="8" t="s">
        <v>11</v>
      </c>
      <c r="I164" s="8" t="s">
        <v>12</v>
      </c>
      <c r="J164" s="8" t="s">
        <v>13</v>
      </c>
      <c r="K164" s="8" t="s">
        <v>14</v>
      </c>
    </row>
    <row r="165" customFormat="false" ht="15" hidden="false" customHeight="false" outlineLevel="0" collapsed="false">
      <c r="A165" s="9" t="s">
        <v>45</v>
      </c>
      <c r="B165" s="9" t="n">
        <f aca="false">COUNTIFS(Purchase!$P$5:$P$80,"&lt;&gt;",Purchase!$B$5:$B$80,"A - Daily")</f>
        <v>10</v>
      </c>
      <c r="C165" s="9" t="n">
        <f aca="false">COUNTIFS(Purchase!$P$5:$P$80,"Correct",Purchase!$B$5:$B$80,"A - Daily")</f>
        <v>10</v>
      </c>
      <c r="D165" s="9" t="n">
        <f aca="false">COUNTIFS(Purchase!$P$5:$P$80,"Safe ask",Purchase!$B$5:$B$80,"A - Daily")</f>
        <v>0</v>
      </c>
      <c r="E165" s="9" t="n">
        <f aca="false">COUNTIFS(Purchase!$P$5:$P$80,"Silent wrong",Purchase!$B$5:$B$80,"A - Daily")</f>
        <v>0</v>
      </c>
      <c r="F165" s="9" t="n">
        <f aca="false">COUNTIFS(Purchase!$P$5:$P$80,"Missed",Purchase!$B$5:$B$80,"A - Daily")</f>
        <v>0</v>
      </c>
      <c r="G165" s="10" t="n">
        <f aca="false">IF(B165=0,"",C165/B165)</f>
        <v>1</v>
      </c>
      <c r="H165" s="10" t="n">
        <f aca="false">IF(B165=0,"",(((C165/B165)+$B$3^2/(2*B165))-($B$3*SQRT((C165/B165)*(1-(C165/B165))/B165+$B$3^2/(4*B165^2))))/(1+$B$3^2/B165))</f>
        <v>0.722459831233383</v>
      </c>
      <c r="I165" s="10" t="n">
        <f aca="false">IF(B165=0,"",(((C165/B165)+$B$3^2/(2*B165))+($B$3*SQRT((C165/B165)*(1-(C165/B165))/B165+$B$3^2/(4*B165^2))))/(1+$B$3^2/B165))</f>
        <v>1</v>
      </c>
      <c r="J165" s="10" t="n">
        <f aca="false">IF(B165=0,"",(C165+D165)/B165)</f>
        <v>1</v>
      </c>
      <c r="K165" s="10" t="n">
        <f aca="false">IF(B165=0,"",E165/B165)</f>
        <v>0</v>
      </c>
    </row>
    <row r="166" customFormat="false" ht="15" hidden="false" customHeight="false" outlineLevel="0" collapsed="false">
      <c r="A166" s="9" t="s">
        <v>46</v>
      </c>
      <c r="B166" s="9" t="n">
        <f aca="false">COUNTIFS(Purchase!$P$5:$P$80,"&lt;&gt;",Purchase!$B$5:$B$80,"B - Tricky")</f>
        <v>14</v>
      </c>
      <c r="C166" s="9" t="n">
        <f aca="false">COUNTIFS(Purchase!$P$5:$P$80,"Correct",Purchase!$B$5:$B$80,"B - Tricky")</f>
        <v>12</v>
      </c>
      <c r="D166" s="9" t="n">
        <f aca="false">COUNTIFS(Purchase!$P$5:$P$80,"Safe ask",Purchase!$B$5:$B$80,"B - Tricky")</f>
        <v>0</v>
      </c>
      <c r="E166" s="9" t="n">
        <f aca="false">COUNTIFS(Purchase!$P$5:$P$80,"Silent wrong",Purchase!$B$5:$B$80,"B - Tricky")</f>
        <v>0</v>
      </c>
      <c r="F166" s="9" t="n">
        <f aca="false">COUNTIFS(Purchase!$P$5:$P$80,"Missed",Purchase!$B$5:$B$80,"B - Tricky")</f>
        <v>2</v>
      </c>
      <c r="G166" s="10" t="n">
        <f aca="false">IF(B166=0,"",C166/B166)</f>
        <v>0.857142857142857</v>
      </c>
      <c r="H166" s="10" t="n">
        <f aca="false">IF(B166=0,"",(((C166/B166)+$B$3^2/(2*B166))-($B$3*SQRT((C166/B166)*(1-(C166/B166))/B166+$B$3^2/(4*B166^2))))/(1+$B$3^2/B166))</f>
        <v>0.600580922361363</v>
      </c>
      <c r="I166" s="10" t="n">
        <f aca="false">IF(B166=0,"",(((C166/B166)+$B$3^2/(2*B166))+($B$3*SQRT((C166/B166)*(1-(C166/B166))/B166+$B$3^2/(4*B166^2))))/(1+$B$3^2/B166))</f>
        <v>0.959906926262079</v>
      </c>
      <c r="J166" s="10" t="n">
        <f aca="false">IF(B166=0,"",(C166+D166)/B166)</f>
        <v>0.857142857142857</v>
      </c>
      <c r="K166" s="10" t="n">
        <f aca="false">IF(B166=0,"",E166/B166)</f>
        <v>0</v>
      </c>
    </row>
    <row r="167" customFormat="false" ht="15" hidden="false" customHeight="false" outlineLevel="0" collapsed="false">
      <c r="A167" s="9" t="s">
        <v>47</v>
      </c>
      <c r="B167" s="9" t="n">
        <f aca="false">COUNTIFS(Purchase!$P$5:$P$80,"&lt;&gt;",Purchase!$B$5:$B$80,"C - Edge")</f>
        <v>11</v>
      </c>
      <c r="C167" s="9" t="n">
        <f aca="false">COUNTIFS(Purchase!$P$5:$P$80,"Correct",Purchase!$B$5:$B$80,"C - Edge")</f>
        <v>9</v>
      </c>
      <c r="D167" s="9" t="n">
        <f aca="false">COUNTIFS(Purchase!$P$5:$P$80,"Safe ask",Purchase!$B$5:$B$80,"C - Edge")</f>
        <v>0</v>
      </c>
      <c r="E167" s="9" t="n">
        <f aca="false">COUNTIFS(Purchase!$P$5:$P$80,"Silent wrong",Purchase!$B$5:$B$80,"C - Edge")</f>
        <v>1</v>
      </c>
      <c r="F167" s="9" t="n">
        <f aca="false">COUNTIFS(Purchase!$P$5:$P$80,"Missed",Purchase!$B$5:$B$80,"C - Edge")</f>
        <v>1</v>
      </c>
      <c r="G167" s="10" t="n">
        <f aca="false">IF(B167=0,"",C167/B167)</f>
        <v>0.818181818181818</v>
      </c>
      <c r="H167" s="10" t="n">
        <f aca="false">IF(B167=0,"",(((C167/B167)+$B$3^2/(2*B167))-($B$3*SQRT((C167/B167)*(1-(C167/B167))/B167+$B$3^2/(4*B167^2))))/(1+$B$3^2/B167))</f>
        <v>0.523013862421755</v>
      </c>
      <c r="I167" s="10" t="n">
        <f aca="false">IF(B167=0,"",(((C167/B167)+$B$3^2/(2*B167))+($B$3*SQRT((C167/B167)*(1-(C167/B167))/B167+$B$3^2/(4*B167^2))))/(1+$B$3^2/B167))</f>
        <v>0.948633399328999</v>
      </c>
      <c r="J167" s="10" t="n">
        <f aca="false">IF(B167=0,"",(C167+D167)/B167)</f>
        <v>0.818181818181818</v>
      </c>
      <c r="K167" s="10" t="n">
        <f aca="false">IF(B167=0,"",E167/B167)</f>
        <v>0.0909090909090909</v>
      </c>
    </row>
    <row r="168" customFormat="false" ht="15" hidden="false" customHeight="false" outlineLevel="0" collapsed="false">
      <c r="A168" s="9" t="s">
        <v>48</v>
      </c>
      <c r="B168" s="9" t="n">
        <f aca="false">COUNTIFS(Purchase!$P$5:$P$80,"&lt;&gt;",Purchase!$B$5:$B$80,"D - Other business")</f>
        <v>12</v>
      </c>
      <c r="C168" s="9" t="n">
        <f aca="false">COUNTIFS(Purchase!$P$5:$P$80,"Correct",Purchase!$B$5:$B$80,"D - Other business")</f>
        <v>12</v>
      </c>
      <c r="D168" s="9" t="n">
        <f aca="false">COUNTIFS(Purchase!$P$5:$P$80,"Safe ask",Purchase!$B$5:$B$80,"D - Other business")</f>
        <v>0</v>
      </c>
      <c r="E168" s="9" t="n">
        <f aca="false">COUNTIFS(Purchase!$P$5:$P$80,"Silent wrong",Purchase!$B$5:$B$80,"D - Other business")</f>
        <v>0</v>
      </c>
      <c r="F168" s="9" t="n">
        <f aca="false">COUNTIFS(Purchase!$P$5:$P$80,"Missed",Purchase!$B$5:$B$80,"D - Other business")</f>
        <v>0</v>
      </c>
      <c r="G168" s="10" t="n">
        <f aca="false">IF(B168=0,"",C168/B168)</f>
        <v>1</v>
      </c>
      <c r="H168" s="10" t="n">
        <f aca="false">IF(B168=0,"",(((C168/B168)+$B$3^2/(2*B168))-($B$3*SQRT((C168/B168)*(1-(C168/B168))/B168+$B$3^2/(4*B168^2))))/(1+$B$3^2/B168))</f>
        <v>0.757499242500757</v>
      </c>
      <c r="I168" s="10" t="n">
        <f aca="false">IF(B168=0,"",(((C168/B168)+$B$3^2/(2*B168))+($B$3*SQRT((C168/B168)*(1-(C168/B168))/B168+$B$3^2/(4*B168^2))))/(1+$B$3^2/B168))</f>
        <v>1</v>
      </c>
      <c r="J168" s="10" t="n">
        <f aca="false">IF(B168=0,"",(C168+D168)/B168)</f>
        <v>1</v>
      </c>
      <c r="K168" s="10" t="n">
        <f aca="false">IF(B168=0,"",E168/B168)</f>
        <v>0</v>
      </c>
    </row>
    <row r="169" customFormat="false" ht="15" hidden="false" customHeight="false" outlineLevel="0" collapsed="false">
      <c r="A169" s="9" t="s">
        <v>49</v>
      </c>
      <c r="B169" s="9" t="n">
        <f aca="false">COUNTIFS(Purchase!$P$5:$P$80,"&lt;&gt;",Purchase!$B$5:$B$80,"E - Mixed")</f>
        <v>25</v>
      </c>
      <c r="C169" s="9" t="n">
        <f aca="false">COUNTIFS(Purchase!$P$5:$P$80,"Correct",Purchase!$B$5:$B$80,"E - Mixed")</f>
        <v>21</v>
      </c>
      <c r="D169" s="9" t="n">
        <f aca="false">COUNTIFS(Purchase!$P$5:$P$80,"Safe ask",Purchase!$B$5:$B$80,"E - Mixed")</f>
        <v>0</v>
      </c>
      <c r="E169" s="9" t="n">
        <f aca="false">COUNTIFS(Purchase!$P$5:$P$80,"Silent wrong",Purchase!$B$5:$B$80,"E - Mixed")</f>
        <v>1</v>
      </c>
      <c r="F169" s="9" t="n">
        <f aca="false">COUNTIFS(Purchase!$P$5:$P$80,"Missed",Purchase!$B$5:$B$80,"E - Mixed")</f>
        <v>3</v>
      </c>
      <c r="G169" s="10" t="n">
        <f aca="false">IF(B169=0,"",C169/B169)</f>
        <v>0.84</v>
      </c>
      <c r="H169" s="10" t="n">
        <f aca="false">IF(B169=0,"",(((C169/B169)+$B$3^2/(2*B169))-($B$3*SQRT((C169/B169)*(1-(C169/B169))/B169+$B$3^2/(4*B169^2))))/(1+$B$3^2/B169))</f>
        <v>0.653459860197618</v>
      </c>
      <c r="I169" s="10" t="n">
        <f aca="false">IF(B169=0,"",(((C169/B169)+$B$3^2/(2*B169))+($B$3*SQRT((C169/B169)*(1-(C169/B169))/B169+$B$3^2/(4*B169^2))))/(1+$B$3^2/B169))</f>
        <v>0.93596652391422</v>
      </c>
      <c r="J169" s="10" t="n">
        <f aca="false">IF(B169=0,"",(C169+D169)/B169)</f>
        <v>0.84</v>
      </c>
      <c r="K169" s="10" t="n">
        <f aca="false">IF(B169=0,"",E169/B169)</f>
        <v>0.04</v>
      </c>
    </row>
    <row r="170" customFormat="false" ht="15" hidden="false" customHeight="false" outlineLevel="0" collapsed="false">
      <c r="A170" s="3" t="s">
        <v>50</v>
      </c>
      <c r="B170" s="9" t="n">
        <f aca="false">COUNTIFS(Purchase!$P$5:$P$80,"&lt;&gt;")</f>
        <v>72</v>
      </c>
      <c r="C170" s="9" t="n">
        <f aca="false">COUNTIFS(Purchase!$P$5:$P$80,"Correct")</f>
        <v>64</v>
      </c>
      <c r="D170" s="9" t="n">
        <f aca="false">COUNTIFS(Purchase!$P$5:$P$80,"Safe ask")</f>
        <v>0</v>
      </c>
      <c r="E170" s="9" t="n">
        <f aca="false">COUNTIFS(Purchase!$P$5:$P$80,"Silent wrong")</f>
        <v>2</v>
      </c>
      <c r="F170" s="9" t="n">
        <f aca="false">COUNTIFS(Purchase!$P$5:$P$80,"Missed")</f>
        <v>6</v>
      </c>
      <c r="G170" s="10" t="n">
        <f aca="false">IF(B170=0,"",C170/B170)</f>
        <v>0.888888888888889</v>
      </c>
      <c r="H170" s="10" t="n">
        <f aca="false">IF(B170=0,"",(((C170/B170)+$B$3^2/(2*B170))-($B$3*SQRT((C170/B170)*(1-(C170/B170))/B170+$B$3^2/(4*B170^2))))/(1+$B$3^2/B170))</f>
        <v>0.795768557414096</v>
      </c>
      <c r="I170" s="10" t="n">
        <f aca="false">IF(B170=0,"",(((C170/B170)+$B$3^2/(2*B170))+($B$3*SQRT((C170/B170)*(1-(C170/B170))/B170+$B$3^2/(4*B170^2))))/(1+$B$3^2/B170))</f>
        <v>0.942612489399262</v>
      </c>
      <c r="J170" s="10" t="n">
        <f aca="false">IF(B170=0,"",(C170+D170)/B170)</f>
        <v>0.888888888888889</v>
      </c>
      <c r="K170" s="10" t="n">
        <f aca="false">IF(B170=0,"",E170/B170)</f>
        <v>0.0277777777777778</v>
      </c>
    </row>
    <row r="173" customFormat="false" ht="15" hidden="false" customHeight="false" outlineLevel="0" collapsed="false">
      <c r="A173" s="7" t="s">
        <v>64</v>
      </c>
    </row>
    <row r="174" customFormat="false" ht="23.85" hidden="false" customHeight="false" outlineLevel="0" collapsed="false">
      <c r="A174" s="8" t="s">
        <v>40</v>
      </c>
      <c r="B174" s="8" t="s">
        <v>9</v>
      </c>
      <c r="C174" s="8" t="s">
        <v>41</v>
      </c>
      <c r="D174" s="8" t="s">
        <v>42</v>
      </c>
      <c r="E174" s="8" t="s">
        <v>43</v>
      </c>
      <c r="F174" s="8" t="s">
        <v>44</v>
      </c>
      <c r="G174" s="8" t="s">
        <v>10</v>
      </c>
      <c r="H174" s="8" t="s">
        <v>11</v>
      </c>
      <c r="I174" s="8" t="s">
        <v>12</v>
      </c>
      <c r="J174" s="8" t="s">
        <v>13</v>
      </c>
      <c r="K174" s="8" t="s">
        <v>14</v>
      </c>
    </row>
    <row r="175" customFormat="false" ht="15" hidden="false" customHeight="false" outlineLevel="0" collapsed="false">
      <c r="A175" s="9" t="s">
        <v>65</v>
      </c>
      <c r="B175" s="9" t="n">
        <f aca="false">COUNTIFS(Report!$P$5:$P$24,"&lt;&gt;",Report!$B$5:$B$24,"A - Person report")</f>
        <v>6</v>
      </c>
      <c r="C175" s="9" t="n">
        <f aca="false">COUNTIFS(Report!$P$5:$P$24,"Correct",Report!$B$5:$B$24,"A - Person report")</f>
        <v>4</v>
      </c>
      <c r="D175" s="9" t="n">
        <f aca="false">COUNTIFS(Report!$P$5:$P$24,"Safe ask",Report!$B$5:$B$24,"A - Person report")</f>
        <v>0</v>
      </c>
      <c r="E175" s="9" t="n">
        <f aca="false">COUNTIFS(Report!$P$5:$P$24,"Silent wrong",Report!$B$5:$B$24,"A - Person report")</f>
        <v>2</v>
      </c>
      <c r="F175" s="9" t="n">
        <f aca="false">COUNTIFS(Report!$P$5:$P$24,"Missed",Report!$B$5:$B$24,"A - Person report")</f>
        <v>0</v>
      </c>
      <c r="G175" s="10" t="n">
        <f aca="false">IF(B175=0,"",C175/B175)</f>
        <v>0.666666666666667</v>
      </c>
      <c r="H175" s="10" t="n">
        <f aca="false">IF(B175=0,"",(((C175/B175)+$B$3^2/(2*B175))-($B$3*SQRT((C175/B175)*(1-(C175/B175))/B175+$B$3^2/(4*B175^2))))/(1+$B$3^2/B175))</f>
        <v>0.299988321341529</v>
      </c>
      <c r="I175" s="10" t="n">
        <f aca="false">IF(B175=0,"",(((C175/B175)+$B$3^2/(2*B175))+($B$3*SQRT((C175/B175)*(1-(C175/B175))/B175+$B$3^2/(4*B175^2))))/(1+$B$3^2/B175))</f>
        <v>0.903230667440783</v>
      </c>
      <c r="J175" s="10" t="n">
        <f aca="false">IF(B175=0,"",(C175+D175)/B175)</f>
        <v>0.666666666666667</v>
      </c>
      <c r="K175" s="10" t="n">
        <f aca="false">IF(B175=0,"",E175/B175)</f>
        <v>0.333333333333333</v>
      </c>
    </row>
    <row r="176" customFormat="false" ht="15" hidden="false" customHeight="false" outlineLevel="0" collapsed="false">
      <c r="A176" s="9" t="s">
        <v>66</v>
      </c>
      <c r="B176" s="9" t="n">
        <f aca="false">COUNTIFS(Report!$P$5:$P$24,"&lt;&gt;",Report!$B$5:$B$24,"B - Other reports")</f>
        <v>8</v>
      </c>
      <c r="C176" s="9" t="n">
        <f aca="false">COUNTIFS(Report!$P$5:$P$24,"Correct",Report!$B$5:$B$24,"B - Other reports")</f>
        <v>6</v>
      </c>
      <c r="D176" s="9" t="n">
        <f aca="false">COUNTIFS(Report!$P$5:$P$24,"Safe ask",Report!$B$5:$B$24,"B - Other reports")</f>
        <v>0</v>
      </c>
      <c r="E176" s="9" t="n">
        <f aca="false">COUNTIFS(Report!$P$5:$P$24,"Silent wrong",Report!$B$5:$B$24,"B - Other reports")</f>
        <v>2</v>
      </c>
      <c r="F176" s="9" t="n">
        <f aca="false">COUNTIFS(Report!$P$5:$P$24,"Missed",Report!$B$5:$B$24,"B - Other reports")</f>
        <v>0</v>
      </c>
      <c r="G176" s="10" t="n">
        <f aca="false">IF(B176=0,"",C176/B176)</f>
        <v>0.75</v>
      </c>
      <c r="H176" s="10" t="n">
        <f aca="false">IF(B176=0,"",(((C176/B176)+$B$3^2/(2*B176))-($B$3*SQRT((C176/B176)*(1-(C176/B176))/B176+$B$3^2/(4*B176^2))))/(1+$B$3^2/B176))</f>
        <v>0.409269879102589</v>
      </c>
      <c r="I176" s="10" t="n">
        <f aca="false">IF(B176=0,"",(((C176/B176)+$B$3^2/(2*B176))+($B$3*SQRT((C176/B176)*(1-(C176/B176))/B176+$B$3^2/(4*B176^2))))/(1+$B$3^2/B176))</f>
        <v>0.928522311141972</v>
      </c>
      <c r="J176" s="10" t="n">
        <f aca="false">IF(B176=0,"",(C176+D176)/B176)</f>
        <v>0.75</v>
      </c>
      <c r="K176" s="10" t="n">
        <f aca="false">IF(B176=0,"",E176/B176)</f>
        <v>0.25</v>
      </c>
    </row>
    <row r="177" customFormat="false" ht="15" hidden="false" customHeight="false" outlineLevel="0" collapsed="false">
      <c r="A177" s="9" t="s">
        <v>47</v>
      </c>
      <c r="B177" s="9" t="n">
        <f aca="false">COUNTIFS(Report!$P$5:$P$24,"&lt;&gt;",Report!$B$5:$B$24,"C - Edge")</f>
        <v>4</v>
      </c>
      <c r="C177" s="9" t="n">
        <f aca="false">COUNTIFS(Report!$P$5:$P$24,"Correct",Report!$B$5:$B$24,"C - Edge")</f>
        <v>3</v>
      </c>
      <c r="D177" s="9" t="n">
        <f aca="false">COUNTIFS(Report!$P$5:$P$24,"Safe ask",Report!$B$5:$B$24,"C - Edge")</f>
        <v>0</v>
      </c>
      <c r="E177" s="9" t="n">
        <f aca="false">COUNTIFS(Report!$P$5:$P$24,"Silent wrong",Report!$B$5:$B$24,"C - Edge")</f>
        <v>1</v>
      </c>
      <c r="F177" s="9" t="n">
        <f aca="false">COUNTIFS(Report!$P$5:$P$24,"Missed",Report!$B$5:$B$24,"C - Edge")</f>
        <v>0</v>
      </c>
      <c r="G177" s="10" t="n">
        <f aca="false">IF(B177=0,"",C177/B177)</f>
        <v>0.75</v>
      </c>
      <c r="H177" s="10" t="n">
        <f aca="false">IF(B177=0,"",(((C177/B177)+$B$3^2/(2*B177))-($B$3*SQRT((C177/B177)*(1-(C177/B177))/B177+$B$3^2/(4*B177^2))))/(1+$B$3^2/B177))</f>
        <v>0.300636052442637</v>
      </c>
      <c r="I177" s="10" t="n">
        <f aca="false">IF(B177=0,"",(((C177/B177)+$B$3^2/(2*B177))+($B$3*SQRT((C177/B177)*(1-(C177/B177))/B177+$B$3^2/(4*B177^2))))/(1+$B$3^2/B177))</f>
        <v>0.954413937355364</v>
      </c>
      <c r="J177" s="10" t="n">
        <f aca="false">IF(B177=0,"",(C177+D177)/B177)</f>
        <v>0.75</v>
      </c>
      <c r="K177" s="10" t="n">
        <f aca="false">IF(B177=0,"",E177/B177)</f>
        <v>0.25</v>
      </c>
    </row>
    <row r="178" customFormat="false" ht="15" hidden="false" customHeight="false" outlineLevel="0" collapsed="false">
      <c r="A178" s="9" t="s">
        <v>67</v>
      </c>
      <c r="B178" s="9" t="n">
        <f aca="false">COUNTIFS(Report!$P$5:$P$24,"&lt;&gt;",Report!$B$5:$B$24,"D - Not a report")</f>
        <v>2</v>
      </c>
      <c r="C178" s="9" t="n">
        <f aca="false">COUNTIFS(Report!$P$5:$P$24,"Correct",Report!$B$5:$B$24,"D - Not a report")</f>
        <v>1</v>
      </c>
      <c r="D178" s="9" t="n">
        <f aca="false">COUNTIFS(Report!$P$5:$P$24,"Safe ask",Report!$B$5:$B$24,"D - Not a report")</f>
        <v>0</v>
      </c>
      <c r="E178" s="9" t="n">
        <f aca="false">COUNTIFS(Report!$P$5:$P$24,"Silent wrong",Report!$B$5:$B$24,"D - Not a report")</f>
        <v>0</v>
      </c>
      <c r="F178" s="9" t="n">
        <f aca="false">COUNTIFS(Report!$P$5:$P$24,"Missed",Report!$B$5:$B$24,"D - Not a report")</f>
        <v>1</v>
      </c>
      <c r="G178" s="10" t="n">
        <f aca="false">IF(B178=0,"",C178/B178)</f>
        <v>0.5</v>
      </c>
      <c r="H178" s="10" t="n">
        <f aca="false">IF(B178=0,"",(((C178/B178)+$B$3^2/(2*B178))-($B$3*SQRT((C178/B178)*(1-(C178/B178))/B178+$B$3^2/(4*B178^2))))/(1+$B$3^2/B178))</f>
        <v>0.0945286548008661</v>
      </c>
      <c r="I178" s="10" t="n">
        <f aca="false">IF(B178=0,"",(((C178/B178)+$B$3^2/(2*B178))+($B$3*SQRT((C178/B178)*(1-(C178/B178))/B178+$B$3^2/(4*B178^2))))/(1+$B$3^2/B178))</f>
        <v>0.905471345199134</v>
      </c>
      <c r="J178" s="10" t="n">
        <f aca="false">IF(B178=0,"",(C178+D178)/B178)</f>
        <v>0.5</v>
      </c>
      <c r="K178" s="10" t="n">
        <f aca="false">IF(B178=0,"",E178/B178)</f>
        <v>0</v>
      </c>
    </row>
    <row r="179" customFormat="false" ht="15" hidden="false" customHeight="false" outlineLevel="0" collapsed="false">
      <c r="A179" s="3" t="s">
        <v>50</v>
      </c>
      <c r="B179" s="9" t="n">
        <f aca="false">COUNTIFS(Report!$P$5:$P$24,"&lt;&gt;")</f>
        <v>20</v>
      </c>
      <c r="C179" s="9" t="n">
        <f aca="false">COUNTIFS(Report!$P$5:$P$24,"Correct")</f>
        <v>14</v>
      </c>
      <c r="D179" s="9" t="n">
        <f aca="false">COUNTIFS(Report!$P$5:$P$24,"Safe ask")</f>
        <v>0</v>
      </c>
      <c r="E179" s="9" t="n">
        <f aca="false">COUNTIFS(Report!$P$5:$P$24,"Silent wrong")</f>
        <v>5</v>
      </c>
      <c r="F179" s="9" t="n">
        <f aca="false">COUNTIFS(Report!$P$5:$P$24,"Missed")</f>
        <v>1</v>
      </c>
      <c r="G179" s="10" t="n">
        <f aca="false">IF(B179=0,"",C179/B179)</f>
        <v>0.7</v>
      </c>
      <c r="H179" s="10" t="n">
        <f aca="false">IF(B179=0,"",(((C179/B179)+$B$3^2/(2*B179))-($B$3*SQRT((C179/B179)*(1-(C179/B179))/B179+$B$3^2/(4*B179^2))))/(1+$B$3^2/B179))</f>
        <v>0.481023223771021</v>
      </c>
      <c r="I179" s="10" t="n">
        <f aca="false">IF(B179=0,"",(((C179/B179)+$B$3^2/(2*B179))+($B$3*SQRT((C179/B179)*(1-(C179/B179))/B179+$B$3^2/(4*B179^2))))/(1+$B$3^2/B179))</f>
        <v>0.854524726031006</v>
      </c>
      <c r="J179" s="10" t="n">
        <f aca="false">IF(B179=0,"",(C179+D179)/B179)</f>
        <v>0.7</v>
      </c>
      <c r="K179" s="10" t="n">
        <f aca="false">IF(B179=0,"",E179/B179)</f>
        <v>0.25</v>
      </c>
    </row>
    <row r="183" customFormat="false" ht="15" hidden="false" customHeight="false" outlineLevel="0" collapsed="false">
      <c r="A183" s="7" t="s">
        <v>68</v>
      </c>
    </row>
    <row r="184" customFormat="false" ht="23.85" hidden="false" customHeight="false" outlineLevel="0" collapsed="false">
      <c r="A184" s="8" t="s">
        <v>40</v>
      </c>
      <c r="B184" s="8" t="s">
        <v>9</v>
      </c>
      <c r="C184" s="8" t="s">
        <v>41</v>
      </c>
      <c r="D184" s="8" t="s">
        <v>42</v>
      </c>
      <c r="E184" s="8" t="s">
        <v>43</v>
      </c>
      <c r="F184" s="8" t="s">
        <v>44</v>
      </c>
      <c r="G184" s="8" t="s">
        <v>10</v>
      </c>
      <c r="H184" s="8" t="s">
        <v>11</v>
      </c>
      <c r="I184" s="8" t="s">
        <v>12</v>
      </c>
      <c r="J184" s="8" t="s">
        <v>13</v>
      </c>
      <c r="K184" s="8" t="s">
        <v>14</v>
      </c>
    </row>
    <row r="185" customFormat="false" ht="15" hidden="false" customHeight="false" outlineLevel="0" collapsed="false">
      <c r="A185" s="9" t="s">
        <v>65</v>
      </c>
      <c r="B185" s="9" t="n">
        <f aca="false">COUNTIFS(Report!$S$5:$S$24,"&lt;&gt;",Report!$B$5:$B$24,"A - Person report")</f>
        <v>6</v>
      </c>
      <c r="C185" s="9" t="n">
        <f aca="false">COUNTIFS(Report!$S$5:$S$24,"Correct",Report!$B$5:$B$24,"A - Person report")</f>
        <v>6</v>
      </c>
      <c r="D185" s="9" t="n">
        <f aca="false">COUNTIFS(Report!$S$5:$S$24,"Safe ask",Report!$B$5:$B$24,"A - Person report")</f>
        <v>0</v>
      </c>
      <c r="E185" s="9" t="n">
        <f aca="false">COUNTIFS(Report!$S$5:$S$24,"Silent wrong",Report!$B$5:$B$24,"A - Person report")</f>
        <v>0</v>
      </c>
      <c r="F185" s="9" t="n">
        <f aca="false">COUNTIFS(Report!$S$5:$S$24,"Missed",Report!$B$5:$B$24,"A - Person report")</f>
        <v>0</v>
      </c>
      <c r="G185" s="10" t="n">
        <f aca="false">IF(B185=0,"",C185/B185)</f>
        <v>1</v>
      </c>
      <c r="H185" s="10" t="n">
        <f aca="false">IF(B185=0,"",(((C185/B185)+$B$3^2/(2*B185))-($B$3*SQRT((C185/B185)*(1-(C185/B185))/B185+$B$3^2/(4*B185^2))))/(1+$B$3^2/B185))</f>
        <v>0.609656966346935</v>
      </c>
      <c r="I185" s="10" t="n">
        <f aca="false">IF(B185=0,"",(((C185/B185)+$B$3^2/(2*B185))+($B$3*SQRT((C185/B185)*(1-(C185/B185))/B185+$B$3^2/(4*B185^2))))/(1+$B$3^2/B185))</f>
        <v>1</v>
      </c>
      <c r="J185" s="10" t="n">
        <f aca="false">IF(B185=0,"",(C185+D185)/B185)</f>
        <v>1</v>
      </c>
      <c r="K185" s="10" t="n">
        <f aca="false">IF(B185=0,"",E185/B185)</f>
        <v>0</v>
      </c>
    </row>
    <row r="186" customFormat="false" ht="15" hidden="false" customHeight="false" outlineLevel="0" collapsed="false">
      <c r="A186" s="9" t="s">
        <v>66</v>
      </c>
      <c r="B186" s="9" t="n">
        <f aca="false">COUNTIFS(Report!$S$5:$S$24,"&lt;&gt;",Report!$B$5:$B$24,"B - Other reports")</f>
        <v>8</v>
      </c>
      <c r="C186" s="9" t="n">
        <f aca="false">COUNTIFS(Report!$S$5:$S$24,"Correct",Report!$B$5:$B$24,"B - Other reports")</f>
        <v>8</v>
      </c>
      <c r="D186" s="9" t="n">
        <f aca="false">COUNTIFS(Report!$S$5:$S$24,"Safe ask",Report!$B$5:$B$24,"B - Other reports")</f>
        <v>0</v>
      </c>
      <c r="E186" s="9" t="n">
        <f aca="false">COUNTIFS(Report!$S$5:$S$24,"Silent wrong",Report!$B$5:$B$24,"B - Other reports")</f>
        <v>0</v>
      </c>
      <c r="F186" s="9" t="n">
        <f aca="false">COUNTIFS(Report!$S$5:$S$24,"Missed",Report!$B$5:$B$24,"B - Other reports")</f>
        <v>0</v>
      </c>
      <c r="G186" s="10" t="n">
        <f aca="false">IF(B186=0,"",C186/B186)</f>
        <v>1</v>
      </c>
      <c r="H186" s="10" t="n">
        <f aca="false">IF(B186=0,"",(((C186/B186)+$B$3^2/(2*B186))-($B$3*SQRT((C186/B186)*(1-(C186/B186))/B186+$B$3^2/(4*B186^2))))/(1+$B$3^2/B186))</f>
        <v>0.675584380489123</v>
      </c>
      <c r="I186" s="10" t="n">
        <f aca="false">IF(B186=0,"",(((C186/B186)+$B$3^2/(2*B186))+($B$3*SQRT((C186/B186)*(1-(C186/B186))/B186+$B$3^2/(4*B186^2))))/(1+$B$3^2/B186))</f>
        <v>1</v>
      </c>
      <c r="J186" s="10" t="n">
        <f aca="false">IF(B186=0,"",(C186+D186)/B186)</f>
        <v>1</v>
      </c>
      <c r="K186" s="10" t="n">
        <f aca="false">IF(B186=0,"",E186/B186)</f>
        <v>0</v>
      </c>
    </row>
    <row r="187" customFormat="false" ht="15" hidden="false" customHeight="false" outlineLevel="0" collapsed="false">
      <c r="A187" s="9" t="s">
        <v>47</v>
      </c>
      <c r="B187" s="9" t="n">
        <f aca="false">COUNTIFS(Report!$S$5:$S$24,"&lt;&gt;",Report!$B$5:$B$24,"C - Edge")</f>
        <v>4</v>
      </c>
      <c r="C187" s="9" t="n">
        <f aca="false">COUNTIFS(Report!$S$5:$S$24,"Correct",Report!$B$5:$B$24,"C - Edge")</f>
        <v>4</v>
      </c>
      <c r="D187" s="9" t="n">
        <f aca="false">COUNTIFS(Report!$S$5:$S$24,"Safe ask",Report!$B$5:$B$24,"C - Edge")</f>
        <v>0</v>
      </c>
      <c r="E187" s="9" t="n">
        <f aca="false">COUNTIFS(Report!$S$5:$S$24,"Silent wrong",Report!$B$5:$B$24,"C - Edge")</f>
        <v>0</v>
      </c>
      <c r="F187" s="9" t="n">
        <f aca="false">COUNTIFS(Report!$S$5:$S$24,"Missed",Report!$B$5:$B$24,"C - Edge")</f>
        <v>0</v>
      </c>
      <c r="G187" s="10" t="n">
        <f aca="false">IF(B187=0,"",C187/B187)</f>
        <v>1</v>
      </c>
      <c r="H187" s="10" t="n">
        <f aca="false">IF(B187=0,"",(((C187/B187)+$B$3^2/(2*B187))-($B$3*SQRT((C187/B187)*(1-(C187/B187))/B187+$B$3^2/(4*B187^2))))/(1+$B$3^2/B187))</f>
        <v>0.510099979596001</v>
      </c>
      <c r="I187" s="10" t="n">
        <f aca="false">IF(B187=0,"",(((C187/B187)+$B$3^2/(2*B187))+($B$3*SQRT((C187/B187)*(1-(C187/B187))/B187+$B$3^2/(4*B187^2))))/(1+$B$3^2/B187))</f>
        <v>1</v>
      </c>
      <c r="J187" s="10" t="n">
        <f aca="false">IF(B187=0,"",(C187+D187)/B187)</f>
        <v>1</v>
      </c>
      <c r="K187" s="10" t="n">
        <f aca="false">IF(B187=0,"",E187/B187)</f>
        <v>0</v>
      </c>
    </row>
    <row r="188" customFormat="false" ht="15" hidden="false" customHeight="false" outlineLevel="0" collapsed="false">
      <c r="A188" s="9" t="s">
        <v>67</v>
      </c>
      <c r="B188" s="9" t="n">
        <f aca="false">COUNTIFS(Report!$S$5:$S$24,"&lt;&gt;",Report!$B$5:$B$24,"D - Not a report")</f>
        <v>2</v>
      </c>
      <c r="C188" s="9" t="n">
        <f aca="false">COUNTIFS(Report!$S$5:$S$24,"Correct",Report!$B$5:$B$24,"D - Not a report")</f>
        <v>2</v>
      </c>
      <c r="D188" s="9" t="n">
        <f aca="false">COUNTIFS(Report!$S$5:$S$24,"Safe ask",Report!$B$5:$B$24,"D - Not a report")</f>
        <v>0</v>
      </c>
      <c r="E188" s="9" t="n">
        <f aca="false">COUNTIFS(Report!$S$5:$S$24,"Silent wrong",Report!$B$5:$B$24,"D - Not a report")</f>
        <v>0</v>
      </c>
      <c r="F188" s="9" t="n">
        <f aca="false">COUNTIFS(Report!$S$5:$S$24,"Missed",Report!$B$5:$B$24,"D - Not a report")</f>
        <v>0</v>
      </c>
      <c r="G188" s="10" t="n">
        <f aca="false">IF(B188=0,"",C188/B188)</f>
        <v>1</v>
      </c>
      <c r="H188" s="10" t="n">
        <f aca="false">IF(B188=0,"",(((C188/B188)+$B$3^2/(2*B188))-($B$3*SQRT((C188/B188)*(1-(C188/B188))/B188+$B$3^2/(4*B188^2))))/(1+$B$3^2/B188))</f>
        <v>0.342371952889619</v>
      </c>
      <c r="I188" s="10" t="n">
        <f aca="false">IF(B188=0,"",(((C188/B188)+$B$3^2/(2*B188))+($B$3*SQRT((C188/B188)*(1-(C188/B188))/B188+$B$3^2/(4*B188^2))))/(1+$B$3^2/B188))</f>
        <v>1</v>
      </c>
      <c r="J188" s="10" t="n">
        <f aca="false">IF(B188=0,"",(C188+D188)/B188)</f>
        <v>1</v>
      </c>
      <c r="K188" s="10" t="n">
        <f aca="false">IF(B188=0,"",E188/B188)</f>
        <v>0</v>
      </c>
    </row>
    <row r="189" customFormat="false" ht="15" hidden="false" customHeight="false" outlineLevel="0" collapsed="false">
      <c r="A189" s="3" t="s">
        <v>50</v>
      </c>
      <c r="B189" s="9" t="n">
        <f aca="false">COUNTIFS(Report!$S$5:$S$24,"&lt;&gt;")</f>
        <v>20</v>
      </c>
      <c r="C189" s="9" t="n">
        <f aca="false">COUNTIFS(Report!$S$5:$S$24,"Correct")</f>
        <v>20</v>
      </c>
      <c r="D189" s="9" t="n">
        <f aca="false">COUNTIFS(Report!$S$5:$S$24,"Safe ask")</f>
        <v>0</v>
      </c>
      <c r="E189" s="9" t="n">
        <f aca="false">COUNTIFS(Report!$S$5:$S$24,"Silent wrong")</f>
        <v>0</v>
      </c>
      <c r="F189" s="9" t="n">
        <f aca="false">COUNTIFS(Report!$S$5:$S$24,"Missed")</f>
        <v>0</v>
      </c>
      <c r="G189" s="10" t="n">
        <f aca="false">IF(B189=0,"",C189/B189)</f>
        <v>1</v>
      </c>
      <c r="H189" s="10" t="n">
        <f aca="false">IF(B189=0,"",(((C189/B189)+$B$3^2/(2*B189))-($B$3*SQRT((C189/B189)*(1-(C189/B189))/B189+$B$3^2/(4*B189^2))))/(1+$B$3^2/B189))</f>
        <v>0.838869874505067</v>
      </c>
      <c r="I189" s="10" t="n">
        <f aca="false">IF(B189=0,"",(((C189/B189)+$B$3^2/(2*B189))+($B$3*SQRT((C189/B189)*(1-(C189/B189))/B189+$B$3^2/(4*B189^2))))/(1+$B$3^2/B189))</f>
        <v>1</v>
      </c>
      <c r="J189" s="10" t="n">
        <f aca="false">IF(B189=0,"",(C189+D189)/B189)</f>
        <v>1</v>
      </c>
      <c r="K189" s="10" t="n">
        <f aca="false">IF(B189=0,"",E189/B189)</f>
        <v>0</v>
      </c>
    </row>
    <row r="193" customFormat="false" ht="15" hidden="false" customHeight="false" outlineLevel="0" collapsed="false">
      <c r="A193" s="7" t="s">
        <v>69</v>
      </c>
    </row>
    <row r="194" customFormat="false" ht="23.85" hidden="false" customHeight="false" outlineLevel="0" collapsed="false">
      <c r="A194" s="8" t="s">
        <v>40</v>
      </c>
      <c r="B194" s="8" t="s">
        <v>9</v>
      </c>
      <c r="C194" s="8" t="s">
        <v>41</v>
      </c>
      <c r="D194" s="8" t="s">
        <v>42</v>
      </c>
      <c r="E194" s="8" t="s">
        <v>43</v>
      </c>
      <c r="F194" s="8" t="s">
        <v>44</v>
      </c>
      <c r="G194" s="8" t="s">
        <v>10</v>
      </c>
      <c r="H194" s="8" t="s">
        <v>11</v>
      </c>
      <c r="I194" s="8" t="s">
        <v>12</v>
      </c>
      <c r="J194" s="8" t="s">
        <v>13</v>
      </c>
      <c r="K194" s="8" t="s">
        <v>14</v>
      </c>
    </row>
    <row r="195" customFormat="false" ht="15" hidden="false" customHeight="false" outlineLevel="0" collapsed="false">
      <c r="A195" s="9" t="s">
        <v>70</v>
      </c>
      <c r="B195" s="9" t="n">
        <f aca="false">COUNTIFS(Correction!$M$5:$M$29,"&lt;&gt;",Correction!$B$5:$B$29,"A - Name + date")</f>
        <v>7</v>
      </c>
      <c r="C195" s="9" t="n">
        <f aca="false">COUNTIFS(Correction!$M$5:$M$29,"Correct",Correction!$B$5:$B$29,"A - Name + date")</f>
        <v>4</v>
      </c>
      <c r="D195" s="9" t="n">
        <f aca="false">COUNTIFS(Correction!$M$5:$M$29,"Safe ask",Correction!$B$5:$B$29,"A - Name + date")</f>
        <v>0</v>
      </c>
      <c r="E195" s="9" t="n">
        <f aca="false">COUNTIFS(Correction!$M$5:$M$29,"Silent wrong",Correction!$B$5:$B$29,"A - Name + date")</f>
        <v>3</v>
      </c>
      <c r="F195" s="9" t="n">
        <f aca="false">COUNTIFS(Correction!$M$5:$M$29,"Missed",Correction!$B$5:$B$29,"A - Name + date")</f>
        <v>0</v>
      </c>
      <c r="G195" s="10" t="n">
        <f aca="false">IF(B195=0,"",C195/B195)</f>
        <v>0.571428571428571</v>
      </c>
      <c r="H195" s="10" t="n">
        <f aca="false">IF(B195=0,"",(((C195/B195)+$B$3^2/(2*B195))-($B$3*SQRT((C195/B195)*(1-(C195/B195))/B195+$B$3^2/(4*B195^2))))/(1+$B$3^2/B195))</f>
        <v>0.250454230409026</v>
      </c>
      <c r="I195" s="10" t="n">
        <f aca="false">IF(B195=0,"",(((C195/B195)+$B$3^2/(2*B195))+($B$3*SQRT((C195/B195)*(1-(C195/B195))/B195+$B$3^2/(4*B195^2))))/(1+$B$3^2/B195))</f>
        <v>0.841783077737373</v>
      </c>
      <c r="J195" s="10" t="n">
        <f aca="false">IF(B195=0,"",(C195+D195)/B195)</f>
        <v>0.571428571428571</v>
      </c>
      <c r="K195" s="10" t="n">
        <f aca="false">IF(B195=0,"",E195/B195)</f>
        <v>0.428571428571429</v>
      </c>
    </row>
    <row r="196" customFormat="false" ht="15" hidden="false" customHeight="false" outlineLevel="0" collapsed="false">
      <c r="A196" s="9" t="s">
        <v>71</v>
      </c>
      <c r="B196" s="9" t="n">
        <f aca="false">COUNTIFS(Correction!$M$5:$M$29,"&lt;&gt;",Correction!$B$5:$B$29,"B - No name / date")</f>
        <v>6</v>
      </c>
      <c r="C196" s="9" t="n">
        <f aca="false">COUNTIFS(Correction!$M$5:$M$29,"Correct",Correction!$B$5:$B$29,"B - No name / date")</f>
        <v>6</v>
      </c>
      <c r="D196" s="9" t="n">
        <f aca="false">COUNTIFS(Correction!$M$5:$M$29,"Safe ask",Correction!$B$5:$B$29,"B - No name / date")</f>
        <v>0</v>
      </c>
      <c r="E196" s="9" t="n">
        <f aca="false">COUNTIFS(Correction!$M$5:$M$29,"Silent wrong",Correction!$B$5:$B$29,"B - No name / date")</f>
        <v>0</v>
      </c>
      <c r="F196" s="9" t="n">
        <f aca="false">COUNTIFS(Correction!$M$5:$M$29,"Missed",Correction!$B$5:$B$29,"B - No name / date")</f>
        <v>0</v>
      </c>
      <c r="G196" s="10" t="n">
        <f aca="false">IF(B196=0,"",C196/B196)</f>
        <v>1</v>
      </c>
      <c r="H196" s="10" t="n">
        <f aca="false">IF(B196=0,"",(((C196/B196)+$B$3^2/(2*B196))-($B$3*SQRT((C196/B196)*(1-(C196/B196))/B196+$B$3^2/(4*B196^2))))/(1+$B$3^2/B196))</f>
        <v>0.609656966346935</v>
      </c>
      <c r="I196" s="10" t="n">
        <f aca="false">IF(B196=0,"",(((C196/B196)+$B$3^2/(2*B196))+($B$3*SQRT((C196/B196)*(1-(C196/B196))/B196+$B$3^2/(4*B196^2))))/(1+$B$3^2/B196))</f>
        <v>1</v>
      </c>
      <c r="J196" s="10" t="n">
        <f aca="false">IF(B196=0,"",(C196+D196)/B196)</f>
        <v>1</v>
      </c>
      <c r="K196" s="10" t="n">
        <f aca="false">IF(B196=0,"",E196/B196)</f>
        <v>0</v>
      </c>
    </row>
    <row r="197" customFormat="false" ht="15" hidden="false" customHeight="false" outlineLevel="0" collapsed="false">
      <c r="A197" s="9" t="s">
        <v>72</v>
      </c>
      <c r="B197" s="9" t="n">
        <f aca="false">COUNTIFS(Correction!$M$5:$M$29,"&lt;&gt;",Correction!$B$5:$B$29,"C - New entry + correction")</f>
        <v>5</v>
      </c>
      <c r="C197" s="9" t="n">
        <f aca="false">COUNTIFS(Correction!$M$5:$M$29,"Correct",Correction!$B$5:$B$29,"C - New entry + correction")</f>
        <v>4</v>
      </c>
      <c r="D197" s="9" t="n">
        <f aca="false">COUNTIFS(Correction!$M$5:$M$29,"Safe ask",Correction!$B$5:$B$29,"C - New entry + correction")</f>
        <v>0</v>
      </c>
      <c r="E197" s="9" t="n">
        <f aca="false">COUNTIFS(Correction!$M$5:$M$29,"Silent wrong",Correction!$B$5:$B$29,"C - New entry + correction")</f>
        <v>1</v>
      </c>
      <c r="F197" s="9" t="n">
        <f aca="false">COUNTIFS(Correction!$M$5:$M$29,"Missed",Correction!$B$5:$B$29,"C - New entry + correction")</f>
        <v>0</v>
      </c>
      <c r="G197" s="10" t="n">
        <f aca="false">IF(B197=0,"",C197/B197)</f>
        <v>0.8</v>
      </c>
      <c r="H197" s="10" t="n">
        <f aca="false">IF(B197=0,"",(((C197/B197)+$B$3^2/(2*B197))-($B$3*SQRT((C197/B197)*(1-(C197/B197))/B197+$B$3^2/(4*B197^2))))/(1+$B$3^2/B197))</f>
        <v>0.375528264118539</v>
      </c>
      <c r="I197" s="10" t="n">
        <f aca="false">IF(B197=0,"",(((C197/B197)+$B$3^2/(2*B197))+($B$3*SQRT((C197/B197)*(1-(C197/B197))/B197+$B$3^2/(4*B197^2))))/(1+$B$3^2/B197))</f>
        <v>0.963776839030213</v>
      </c>
      <c r="J197" s="10" t="n">
        <f aca="false">IF(B197=0,"",(C197+D197)/B197)</f>
        <v>0.8</v>
      </c>
      <c r="K197" s="10" t="n">
        <f aca="false">IF(B197=0,"",E197/B197)</f>
        <v>0.2</v>
      </c>
    </row>
    <row r="198" customFormat="false" ht="15" hidden="false" customHeight="false" outlineLevel="0" collapsed="false">
      <c r="A198" s="9" t="s">
        <v>73</v>
      </c>
      <c r="B198" s="9" t="n">
        <f aca="false">COUNTIFS(Correction!$M$5:$M$29,"&lt;&gt;",Correction!$B$5:$B$29,"D - Not a correction")</f>
        <v>7</v>
      </c>
      <c r="C198" s="9" t="n">
        <f aca="false">COUNTIFS(Correction!$M$5:$M$29,"Correct",Correction!$B$5:$B$29,"D - Not a correction")</f>
        <v>5</v>
      </c>
      <c r="D198" s="9" t="n">
        <f aca="false">COUNTIFS(Correction!$M$5:$M$29,"Safe ask",Correction!$B$5:$B$29,"D - Not a correction")</f>
        <v>0</v>
      </c>
      <c r="E198" s="9" t="n">
        <f aca="false">COUNTIFS(Correction!$M$5:$M$29,"Silent wrong",Correction!$B$5:$B$29,"D - Not a correction")</f>
        <v>2</v>
      </c>
      <c r="F198" s="9" t="n">
        <f aca="false">COUNTIFS(Correction!$M$5:$M$29,"Missed",Correction!$B$5:$B$29,"D - Not a correction")</f>
        <v>0</v>
      </c>
      <c r="G198" s="10" t="n">
        <f aca="false">IF(B198=0,"",C198/B198)</f>
        <v>0.714285714285714</v>
      </c>
      <c r="H198" s="10" t="n">
        <f aca="false">IF(B198=0,"",(((C198/B198)+$B$3^2/(2*B198))-($B$3*SQRT((C198/B198)*(1-(C198/B198))/B198+$B$3^2/(4*B198^2))))/(1+$B$3^2/B198))</f>
        <v>0.358929090148213</v>
      </c>
      <c r="I198" s="10" t="n">
        <f aca="false">IF(B198=0,"",(((C198/B198)+$B$3^2/(2*B198))+($B$3*SQRT((C198/B198)*(1-(C198/B198))/B198+$B$3^2/(4*B198^2))))/(1+$B$3^2/B198))</f>
        <v>0.917782834290985</v>
      </c>
      <c r="J198" s="10" t="n">
        <f aca="false">IF(B198=0,"",(C198+D198)/B198)</f>
        <v>0.714285714285714</v>
      </c>
      <c r="K198" s="10" t="n">
        <f aca="false">IF(B198=0,"",E198/B198)</f>
        <v>0.285714285714286</v>
      </c>
    </row>
    <row r="199" customFormat="false" ht="15" hidden="false" customHeight="false" outlineLevel="0" collapsed="false">
      <c r="A199" s="3" t="s">
        <v>50</v>
      </c>
      <c r="B199" s="9" t="n">
        <f aca="false">COUNTIFS(Correction!$M$5:$M$29,"&lt;&gt;")</f>
        <v>25</v>
      </c>
      <c r="C199" s="9" t="n">
        <f aca="false">COUNTIFS(Correction!$M$5:$M$29,"Correct")</f>
        <v>19</v>
      </c>
      <c r="D199" s="9" t="n">
        <f aca="false">COUNTIFS(Correction!$M$5:$M$29,"Safe ask")</f>
        <v>0</v>
      </c>
      <c r="E199" s="9" t="n">
        <f aca="false">COUNTIFS(Correction!$M$5:$M$29,"Silent wrong")</f>
        <v>6</v>
      </c>
      <c r="F199" s="9" t="n">
        <f aca="false">COUNTIFS(Correction!$M$5:$M$29,"Missed")</f>
        <v>0</v>
      </c>
      <c r="G199" s="10" t="n">
        <f aca="false">IF(B199=0,"",C199/B199)</f>
        <v>0.76</v>
      </c>
      <c r="H199" s="10" t="n">
        <f aca="false">IF(B199=0,"",(((C199/B199)+$B$3^2/(2*B199))-($B$3*SQRT((C199/B199)*(1-(C199/B199))/B199+$B$3^2/(4*B199^2))))/(1+$B$3^2/B199))</f>
        <v>0.565699400447614</v>
      </c>
      <c r="I199" s="10" t="n">
        <f aca="false">IF(B199=0,"",(((C199/B199)+$B$3^2/(2*B199))+($B$3*SQRT((C199/B199)*(1-(C199/B199))/B199+$B$3^2/(4*B199^2))))/(1+$B$3^2/B199))</f>
        <v>0.885038422696733</v>
      </c>
      <c r="J199" s="10" t="n">
        <f aca="false">IF(B199=0,"",(C199+D199)/B199)</f>
        <v>0.76</v>
      </c>
      <c r="K199" s="10" t="n">
        <f aca="false">IF(B199=0,"",E199/B199)</f>
        <v>0.24</v>
      </c>
    </row>
    <row r="203" customFormat="false" ht="15" hidden="false" customHeight="false" outlineLevel="0" collapsed="false">
      <c r="A203" s="7" t="s">
        <v>74</v>
      </c>
    </row>
    <row r="204" customFormat="false" ht="23.85" hidden="false" customHeight="false" outlineLevel="0" collapsed="false">
      <c r="A204" s="8" t="s">
        <v>40</v>
      </c>
      <c r="B204" s="8" t="s">
        <v>9</v>
      </c>
      <c r="C204" s="8" t="s">
        <v>41</v>
      </c>
      <c r="D204" s="8" t="s">
        <v>42</v>
      </c>
      <c r="E204" s="8" t="s">
        <v>43</v>
      </c>
      <c r="F204" s="8" t="s">
        <v>44</v>
      </c>
      <c r="G204" s="8" t="s">
        <v>10</v>
      </c>
      <c r="H204" s="8" t="s">
        <v>11</v>
      </c>
      <c r="I204" s="8" t="s">
        <v>12</v>
      </c>
      <c r="J204" s="8" t="s">
        <v>13</v>
      </c>
      <c r="K204" s="8" t="s">
        <v>14</v>
      </c>
    </row>
    <row r="205" customFormat="false" ht="15" hidden="false" customHeight="false" outlineLevel="0" collapsed="false">
      <c r="A205" s="9" t="s">
        <v>70</v>
      </c>
      <c r="B205" s="9" t="n">
        <f aca="false">COUNTIFS(Correction!$P$5:$P$29,"&lt;&gt;",Correction!$B$5:$B$29,"A - Name + date")</f>
        <v>7</v>
      </c>
      <c r="C205" s="9" t="n">
        <f aca="false">COUNTIFS(Correction!$P$5:$P$29,"Correct",Correction!$B$5:$B$29,"A - Name + date")</f>
        <v>6</v>
      </c>
      <c r="D205" s="9" t="n">
        <f aca="false">COUNTIFS(Correction!$P$5:$P$29,"Safe ask",Correction!$B$5:$B$29,"A - Name + date")</f>
        <v>0</v>
      </c>
      <c r="E205" s="9" t="n">
        <f aca="false">COUNTIFS(Correction!$P$5:$P$29,"Silent wrong",Correction!$B$5:$B$29,"A - Name + date")</f>
        <v>1</v>
      </c>
      <c r="F205" s="9" t="n">
        <f aca="false">COUNTIFS(Correction!$P$5:$P$29,"Missed",Correction!$B$5:$B$29,"A - Name + date")</f>
        <v>0</v>
      </c>
      <c r="G205" s="10" t="n">
        <f aca="false">IF(B205=0,"",C205/B205)</f>
        <v>0.857142857142857</v>
      </c>
      <c r="H205" s="10" t="n">
        <f aca="false">IF(B205=0,"",(((C205/B205)+$B$3^2/(2*B205))-($B$3*SQRT((C205/B205)*(1-(C205/B205))/B205+$B$3^2/(4*B205^2))))/(1+$B$3^2/B205))</f>
        <v>0.48686549668097</v>
      </c>
      <c r="I205" s="10" t="n">
        <f aca="false">IF(B205=0,"",(((C205/B205)+$B$3^2/(2*B205))+($B$3*SQRT((C205/B205)*(1-(C205/B205))/B205+$B$3^2/(4*B205^2))))/(1+$B$3^2/B205))</f>
        <v>0.974321044051025</v>
      </c>
      <c r="J205" s="10" t="n">
        <f aca="false">IF(B205=0,"",(C205+D205)/B205)</f>
        <v>0.857142857142857</v>
      </c>
      <c r="K205" s="10" t="n">
        <f aca="false">IF(B205=0,"",E205/B205)</f>
        <v>0.142857142857143</v>
      </c>
    </row>
    <row r="206" customFormat="false" ht="15" hidden="false" customHeight="false" outlineLevel="0" collapsed="false">
      <c r="A206" s="9" t="s">
        <v>71</v>
      </c>
      <c r="B206" s="9" t="n">
        <f aca="false">COUNTIFS(Correction!$P$5:$P$29,"&lt;&gt;",Correction!$B$5:$B$29,"B - No name / date")</f>
        <v>6</v>
      </c>
      <c r="C206" s="9" t="n">
        <f aca="false">COUNTIFS(Correction!$P$5:$P$29,"Correct",Correction!$B$5:$B$29,"B - No name / date")</f>
        <v>6</v>
      </c>
      <c r="D206" s="9" t="n">
        <f aca="false">COUNTIFS(Correction!$P$5:$P$29,"Safe ask",Correction!$B$5:$B$29,"B - No name / date")</f>
        <v>0</v>
      </c>
      <c r="E206" s="9" t="n">
        <f aca="false">COUNTIFS(Correction!$P$5:$P$29,"Silent wrong",Correction!$B$5:$B$29,"B - No name / date")</f>
        <v>0</v>
      </c>
      <c r="F206" s="9" t="n">
        <f aca="false">COUNTIFS(Correction!$P$5:$P$29,"Missed",Correction!$B$5:$B$29,"B - No name / date")</f>
        <v>0</v>
      </c>
      <c r="G206" s="10" t="n">
        <f aca="false">IF(B206=0,"",C206/B206)</f>
        <v>1</v>
      </c>
      <c r="H206" s="10" t="n">
        <f aca="false">IF(B206=0,"",(((C206/B206)+$B$3^2/(2*B206))-($B$3*SQRT((C206/B206)*(1-(C206/B206))/B206+$B$3^2/(4*B206^2))))/(1+$B$3^2/B206))</f>
        <v>0.609656966346935</v>
      </c>
      <c r="I206" s="10" t="n">
        <f aca="false">IF(B206=0,"",(((C206/B206)+$B$3^2/(2*B206))+($B$3*SQRT((C206/B206)*(1-(C206/B206))/B206+$B$3^2/(4*B206^2))))/(1+$B$3^2/B206))</f>
        <v>1</v>
      </c>
      <c r="J206" s="10" t="n">
        <f aca="false">IF(B206=0,"",(C206+D206)/B206)</f>
        <v>1</v>
      </c>
      <c r="K206" s="10" t="n">
        <f aca="false">IF(B206=0,"",E206/B206)</f>
        <v>0</v>
      </c>
    </row>
    <row r="207" customFormat="false" ht="15" hidden="false" customHeight="false" outlineLevel="0" collapsed="false">
      <c r="A207" s="9" t="s">
        <v>72</v>
      </c>
      <c r="B207" s="9" t="n">
        <f aca="false">COUNTIFS(Correction!$P$5:$P$29,"&lt;&gt;",Correction!$B$5:$B$29,"C - New entry + correction")</f>
        <v>5</v>
      </c>
      <c r="C207" s="9" t="n">
        <f aca="false">COUNTIFS(Correction!$P$5:$P$29,"Correct",Correction!$B$5:$B$29,"C - New entry + correction")</f>
        <v>5</v>
      </c>
      <c r="D207" s="9" t="n">
        <f aca="false">COUNTIFS(Correction!$P$5:$P$29,"Safe ask",Correction!$B$5:$B$29,"C - New entry + correction")</f>
        <v>0</v>
      </c>
      <c r="E207" s="9" t="n">
        <f aca="false">COUNTIFS(Correction!$P$5:$P$29,"Silent wrong",Correction!$B$5:$B$29,"C - New entry + correction")</f>
        <v>0</v>
      </c>
      <c r="F207" s="9" t="n">
        <f aca="false">COUNTIFS(Correction!$P$5:$P$29,"Missed",Correction!$B$5:$B$29,"C - New entry + correction")</f>
        <v>0</v>
      </c>
      <c r="G207" s="10" t="n">
        <f aca="false">IF(B207=0,"",C207/B207)</f>
        <v>1</v>
      </c>
      <c r="H207" s="10" t="n">
        <f aca="false">IF(B207=0,"",(((C207/B207)+$B$3^2/(2*B207))-($B$3*SQRT((C207/B207)*(1-(C207/B207))/B207+$B$3^2/(4*B207^2))))/(1+$B$3^2/B207))</f>
        <v>0.565508505247919</v>
      </c>
      <c r="I207" s="10" t="n">
        <f aca="false">IF(B207=0,"",(((C207/B207)+$B$3^2/(2*B207))+($B$3*SQRT((C207/B207)*(1-(C207/B207))/B207+$B$3^2/(4*B207^2))))/(1+$B$3^2/B207))</f>
        <v>1</v>
      </c>
      <c r="J207" s="10" t="n">
        <f aca="false">IF(B207=0,"",(C207+D207)/B207)</f>
        <v>1</v>
      </c>
      <c r="K207" s="10" t="n">
        <f aca="false">IF(B207=0,"",E207/B207)</f>
        <v>0</v>
      </c>
    </row>
    <row r="208" customFormat="false" ht="15" hidden="false" customHeight="false" outlineLevel="0" collapsed="false">
      <c r="A208" s="9" t="s">
        <v>73</v>
      </c>
      <c r="B208" s="9" t="n">
        <f aca="false">COUNTIFS(Correction!$P$5:$P$29,"&lt;&gt;",Correction!$B$5:$B$29,"D - Not a correction")</f>
        <v>7</v>
      </c>
      <c r="C208" s="9" t="n">
        <f aca="false">COUNTIFS(Correction!$P$5:$P$29,"Correct",Correction!$B$5:$B$29,"D - Not a correction")</f>
        <v>7</v>
      </c>
      <c r="D208" s="9" t="n">
        <f aca="false">COUNTIFS(Correction!$P$5:$P$29,"Safe ask",Correction!$B$5:$B$29,"D - Not a correction")</f>
        <v>0</v>
      </c>
      <c r="E208" s="9" t="n">
        <f aca="false">COUNTIFS(Correction!$P$5:$P$29,"Silent wrong",Correction!$B$5:$B$29,"D - Not a correction")</f>
        <v>0</v>
      </c>
      <c r="F208" s="9" t="n">
        <f aca="false">COUNTIFS(Correction!$P$5:$P$29,"Missed",Correction!$B$5:$B$29,"D - Not a correction")</f>
        <v>0</v>
      </c>
      <c r="G208" s="10" t="n">
        <f aca="false">IF(B208=0,"",C208/B208)</f>
        <v>1</v>
      </c>
      <c r="H208" s="10" t="n">
        <f aca="false">IF(B208=0,"",(((C208/B208)+$B$3^2/(2*B208))-($B$3*SQRT((C208/B208)*(1-(C208/B208))/B208+$B$3^2/(4*B208^2))))/(1+$B$3^2/B208))</f>
        <v>0.645661157024793</v>
      </c>
      <c r="I208" s="10" t="n">
        <f aca="false">IF(B208=0,"",(((C208/B208)+$B$3^2/(2*B208))+($B$3*SQRT((C208/B208)*(1-(C208/B208))/B208+$B$3^2/(4*B208^2))))/(1+$B$3^2/B208))</f>
        <v>1</v>
      </c>
      <c r="J208" s="10" t="n">
        <f aca="false">IF(B208=0,"",(C208+D208)/B208)</f>
        <v>1</v>
      </c>
      <c r="K208" s="10" t="n">
        <f aca="false">IF(B208=0,"",E208/B208)</f>
        <v>0</v>
      </c>
    </row>
    <row r="209" customFormat="false" ht="15" hidden="false" customHeight="false" outlineLevel="0" collapsed="false">
      <c r="A209" s="3" t="s">
        <v>50</v>
      </c>
      <c r="B209" s="9" t="n">
        <f aca="false">COUNTIFS(Correction!$P$5:$P$29,"&lt;&gt;")</f>
        <v>25</v>
      </c>
      <c r="C209" s="9" t="n">
        <f aca="false">COUNTIFS(Correction!$P$5:$P$29,"Correct")</f>
        <v>24</v>
      </c>
      <c r="D209" s="9" t="n">
        <f aca="false">COUNTIFS(Correction!$P$5:$P$29,"Safe ask")</f>
        <v>0</v>
      </c>
      <c r="E209" s="9" t="n">
        <f aca="false">COUNTIFS(Correction!$P$5:$P$29,"Silent wrong")</f>
        <v>1</v>
      </c>
      <c r="F209" s="9" t="n">
        <f aca="false">COUNTIFS(Correction!$P$5:$P$29,"Missed")</f>
        <v>0</v>
      </c>
      <c r="G209" s="10" t="n">
        <f aca="false">IF(B209=0,"",C209/B209)</f>
        <v>0.96</v>
      </c>
      <c r="H209" s="10" t="n">
        <f aca="false">IF(B209=0,"",(((C209/B209)+$B$3^2/(2*B209))-($B$3*SQRT((C209/B209)*(1-(C209/B209))/B209+$B$3^2/(4*B209^2))))/(1+$B$3^2/B209))</f>
        <v>0.804555275949775</v>
      </c>
      <c r="I209" s="10" t="n">
        <f aca="false">IF(B209=0,"",(((C209/B209)+$B$3^2/(2*B209))+($B$3*SQRT((C209/B209)*(1-(C209/B209))/B209+$B$3^2/(4*B209^2))))/(1+$B$3^2/B209))</f>
        <v>0.992903949613301</v>
      </c>
      <c r="J209" s="10" t="n">
        <f aca="false">IF(B209=0,"",(C209+D209)/B209)</f>
        <v>0.96</v>
      </c>
      <c r="K209" s="10" t="n">
        <f aca="false">IF(B209=0,"",E209/B209)</f>
        <v>0.04</v>
      </c>
    </row>
    <row r="213" customFormat="false" ht="15" hidden="false" customHeight="false" outlineLevel="0" collapsed="false">
      <c r="A213" s="7" t="s">
        <v>75</v>
      </c>
    </row>
    <row r="214" customFormat="false" ht="23.85" hidden="false" customHeight="false" outlineLevel="0" collapsed="false">
      <c r="A214" s="8" t="s">
        <v>40</v>
      </c>
      <c r="B214" s="8" t="s">
        <v>9</v>
      </c>
      <c r="C214" s="8" t="s">
        <v>41</v>
      </c>
      <c r="D214" s="8" t="s">
        <v>42</v>
      </c>
      <c r="E214" s="8" t="s">
        <v>43</v>
      </c>
      <c r="F214" s="8" t="s">
        <v>44</v>
      </c>
      <c r="G214" s="8" t="s">
        <v>10</v>
      </c>
      <c r="H214" s="8" t="s">
        <v>11</v>
      </c>
      <c r="I214" s="8" t="s">
        <v>12</v>
      </c>
      <c r="J214" s="8" t="s">
        <v>13</v>
      </c>
      <c r="K214" s="8" t="s">
        <v>14</v>
      </c>
    </row>
    <row r="215" customFormat="false" ht="15" hidden="false" customHeight="false" outlineLevel="0" collapsed="false">
      <c r="A215" s="9" t="s">
        <v>76</v>
      </c>
      <c r="B215" s="9" t="n">
        <f aca="false">COUNTIFS(Router!$M$5:$M$34,"&lt;&gt;",Router!$B$5:$B$34,"A - General chat")</f>
        <v>6</v>
      </c>
      <c r="C215" s="9" t="n">
        <f aca="false">COUNTIFS(Router!$M$5:$M$34,"Correct",Router!$B$5:$B$34,"A - General chat")</f>
        <v>6</v>
      </c>
      <c r="D215" s="9" t="n">
        <f aca="false">COUNTIFS(Router!$M$5:$M$34,"Safe ask",Router!$B$5:$B$34,"A - General chat")</f>
        <v>0</v>
      </c>
      <c r="E215" s="9" t="n">
        <f aca="false">COUNTIFS(Router!$M$5:$M$34,"Silent wrong",Router!$B$5:$B$34,"A - General chat")</f>
        <v>0</v>
      </c>
      <c r="F215" s="9" t="n">
        <f aca="false">COUNTIFS(Router!$M$5:$M$34,"Missed",Router!$B$5:$B$34,"A - General chat")</f>
        <v>0</v>
      </c>
      <c r="G215" s="10" t="n">
        <f aca="false">IF(B215=0,"",C215/B215)</f>
        <v>1</v>
      </c>
      <c r="H215" s="10" t="n">
        <f aca="false">IF(B215=0,"",(((C215/B215)+$B$3^2/(2*B215))-($B$3*SQRT((C215/B215)*(1-(C215/B215))/B215+$B$3^2/(4*B215^2))))/(1+$B$3^2/B215))</f>
        <v>0.609656966346935</v>
      </c>
      <c r="I215" s="10" t="n">
        <f aca="false">IF(B215=0,"",(((C215/B215)+$B$3^2/(2*B215))+($B$3*SQRT((C215/B215)*(1-(C215/B215))/B215+$B$3^2/(4*B215^2))))/(1+$B$3^2/B215))</f>
        <v>1</v>
      </c>
      <c r="J215" s="10" t="n">
        <f aca="false">IF(B215=0,"",(C215+D215)/B215)</f>
        <v>1</v>
      </c>
      <c r="K215" s="10" t="n">
        <f aca="false">IF(B215=0,"",E215/B215)</f>
        <v>0</v>
      </c>
    </row>
    <row r="216" customFormat="false" ht="15" hidden="false" customHeight="false" outlineLevel="0" collapsed="false">
      <c r="A216" s="9" t="s">
        <v>77</v>
      </c>
      <c r="B216" s="9" t="n">
        <f aca="false">COUNTIFS(Router!$M$5:$M$34,"&lt;&gt;",Router!$B$5:$B$34,"B - Chat like business")</f>
        <v>6</v>
      </c>
      <c r="C216" s="9" t="n">
        <f aca="false">COUNTIFS(Router!$M$5:$M$34,"Correct",Router!$B$5:$B$34,"B - Chat like business")</f>
        <v>6</v>
      </c>
      <c r="D216" s="9" t="n">
        <f aca="false">COUNTIFS(Router!$M$5:$M$34,"Safe ask",Router!$B$5:$B$34,"B - Chat like business")</f>
        <v>0</v>
      </c>
      <c r="E216" s="9" t="n">
        <f aca="false">COUNTIFS(Router!$M$5:$M$34,"Silent wrong",Router!$B$5:$B$34,"B - Chat like business")</f>
        <v>0</v>
      </c>
      <c r="F216" s="9" t="n">
        <f aca="false">COUNTIFS(Router!$M$5:$M$34,"Missed",Router!$B$5:$B$34,"B - Chat like business")</f>
        <v>0</v>
      </c>
      <c r="G216" s="10" t="n">
        <f aca="false">IF(B216=0,"",C216/B216)</f>
        <v>1</v>
      </c>
      <c r="H216" s="10" t="n">
        <f aca="false">IF(B216=0,"",(((C216/B216)+$B$3^2/(2*B216))-($B$3*SQRT((C216/B216)*(1-(C216/B216))/B216+$B$3^2/(4*B216^2))))/(1+$B$3^2/B216))</f>
        <v>0.609656966346935</v>
      </c>
      <c r="I216" s="10" t="n">
        <f aca="false">IF(B216=0,"",(((C216/B216)+$B$3^2/(2*B216))+($B$3*SQRT((C216/B216)*(1-(C216/B216))/B216+$B$3^2/(4*B216^2))))/(1+$B$3^2/B216))</f>
        <v>1</v>
      </c>
      <c r="J216" s="10" t="n">
        <f aca="false">IF(B216=0,"",(C216+D216)/B216)</f>
        <v>1</v>
      </c>
      <c r="K216" s="10" t="n">
        <f aca="false">IF(B216=0,"",E216/B216)</f>
        <v>0</v>
      </c>
    </row>
    <row r="217" customFormat="false" ht="15" hidden="false" customHeight="false" outlineLevel="0" collapsed="false">
      <c r="A217" s="9" t="s">
        <v>78</v>
      </c>
      <c r="B217" s="9" t="n">
        <f aca="false">COUNTIFS(Router!$M$5:$M$34,"&lt;&gt;",Router!$B$5:$B$34,"C - Entry like chat")</f>
        <v>9</v>
      </c>
      <c r="C217" s="9" t="n">
        <f aca="false">COUNTIFS(Router!$M$5:$M$34,"Correct",Router!$B$5:$B$34,"C - Entry like chat")</f>
        <v>9</v>
      </c>
      <c r="D217" s="9" t="n">
        <f aca="false">COUNTIFS(Router!$M$5:$M$34,"Safe ask",Router!$B$5:$B$34,"C - Entry like chat")</f>
        <v>0</v>
      </c>
      <c r="E217" s="9" t="n">
        <f aca="false">COUNTIFS(Router!$M$5:$M$34,"Silent wrong",Router!$B$5:$B$34,"C - Entry like chat")</f>
        <v>0</v>
      </c>
      <c r="F217" s="9" t="n">
        <f aca="false">COUNTIFS(Router!$M$5:$M$34,"Missed",Router!$B$5:$B$34,"C - Entry like chat")</f>
        <v>0</v>
      </c>
      <c r="G217" s="10" t="n">
        <f aca="false">IF(B217=0,"",C217/B217)</f>
        <v>1</v>
      </c>
      <c r="H217" s="10" t="n">
        <f aca="false">IF(B217=0,"",(((C217/B217)+$B$3^2/(2*B217))-($B$3*SQRT((C217/B217)*(1-(C217/B217))/B217+$B$3^2/(4*B217^2))))/(1+$B$3^2/B217))</f>
        <v>0.700847246449041</v>
      </c>
      <c r="I217" s="10" t="n">
        <f aca="false">IF(B217=0,"",(((C217/B217)+$B$3^2/(2*B217))+($B$3*SQRT((C217/B217)*(1-(C217/B217))/B217+$B$3^2/(4*B217^2))))/(1+$B$3^2/B217))</f>
        <v>1</v>
      </c>
      <c r="J217" s="10" t="n">
        <f aca="false">IF(B217=0,"",(C217+D217)/B217)</f>
        <v>1</v>
      </c>
      <c r="K217" s="10" t="n">
        <f aca="false">IF(B217=0,"",E217/B217)</f>
        <v>0</v>
      </c>
    </row>
    <row r="218" customFormat="false" ht="15" hidden="false" customHeight="false" outlineLevel="0" collapsed="false">
      <c r="A218" s="9" t="s">
        <v>79</v>
      </c>
      <c r="B218" s="9" t="n">
        <f aca="false">COUNTIFS(Router!$M$5:$M$34,"&lt;&gt;",Router!$B$5:$B$34,"D - Report or entry")</f>
        <v>9</v>
      </c>
      <c r="C218" s="9" t="n">
        <f aca="false">COUNTIFS(Router!$M$5:$M$34,"Correct",Router!$B$5:$B$34,"D - Report or entry")</f>
        <v>9</v>
      </c>
      <c r="D218" s="9" t="n">
        <f aca="false">COUNTIFS(Router!$M$5:$M$34,"Safe ask",Router!$B$5:$B$34,"D - Report or entry")</f>
        <v>0</v>
      </c>
      <c r="E218" s="9" t="n">
        <f aca="false">COUNTIFS(Router!$M$5:$M$34,"Silent wrong",Router!$B$5:$B$34,"D - Report or entry")</f>
        <v>0</v>
      </c>
      <c r="F218" s="9" t="n">
        <f aca="false">COUNTIFS(Router!$M$5:$M$34,"Missed",Router!$B$5:$B$34,"D - Report or entry")</f>
        <v>0</v>
      </c>
      <c r="G218" s="10" t="n">
        <f aca="false">IF(B218=0,"",C218/B218)</f>
        <v>1</v>
      </c>
      <c r="H218" s="10" t="n">
        <f aca="false">IF(B218=0,"",(((C218/B218)+$B$3^2/(2*B218))-($B$3*SQRT((C218/B218)*(1-(C218/B218))/B218+$B$3^2/(4*B218^2))))/(1+$B$3^2/B218))</f>
        <v>0.700847246449041</v>
      </c>
      <c r="I218" s="10" t="n">
        <f aca="false">IF(B218=0,"",(((C218/B218)+$B$3^2/(2*B218))+($B$3*SQRT((C218/B218)*(1-(C218/B218))/B218+$B$3^2/(4*B218^2))))/(1+$B$3^2/B218))</f>
        <v>1</v>
      </c>
      <c r="J218" s="10" t="n">
        <f aca="false">IF(B218=0,"",(C218+D218)/B218)</f>
        <v>1</v>
      </c>
      <c r="K218" s="10" t="n">
        <f aca="false">IF(B218=0,"",E218/B218)</f>
        <v>0</v>
      </c>
    </row>
    <row r="219" customFormat="false" ht="15" hidden="false" customHeight="false" outlineLevel="0" collapsed="false">
      <c r="A219" s="3" t="s">
        <v>50</v>
      </c>
      <c r="B219" s="9" t="n">
        <f aca="false">COUNTIFS(Router!$M$5:$M$34,"&lt;&gt;")</f>
        <v>30</v>
      </c>
      <c r="C219" s="9" t="n">
        <f aca="false">COUNTIFS(Router!$M$5:$M$34,"Correct")</f>
        <v>30</v>
      </c>
      <c r="D219" s="9" t="n">
        <f aca="false">COUNTIFS(Router!$M$5:$M$34,"Safe ask")</f>
        <v>0</v>
      </c>
      <c r="E219" s="9" t="n">
        <f aca="false">COUNTIFS(Router!$M$5:$M$34,"Silent wrong")</f>
        <v>0</v>
      </c>
      <c r="F219" s="9" t="n">
        <f aca="false">COUNTIFS(Router!$M$5:$M$34,"Missed")</f>
        <v>0</v>
      </c>
      <c r="G219" s="10" t="n">
        <f aca="false">IF(B219=0,"",C219/B219)</f>
        <v>1</v>
      </c>
      <c r="H219" s="10" t="n">
        <f aca="false">IF(B219=0,"",(((C219/B219)+$B$3^2/(2*B219))-($B$3*SQRT((C219/B219)*(1-(C219/B219))/B219+$B$3^2/(4*B219^2))))/(1+$B$3^2/B219))</f>
        <v>0.886482908609522</v>
      </c>
      <c r="I219" s="10" t="n">
        <f aca="false">IF(B219=0,"",(((C219/B219)+$B$3^2/(2*B219))+($B$3*SQRT((C219/B219)*(1-(C219/B219))/B219+$B$3^2/(4*B219^2))))/(1+$B$3^2/B219))</f>
        <v>1</v>
      </c>
      <c r="J219" s="10" t="n">
        <f aca="false">IF(B219=0,"",(C219+D219)/B219)</f>
        <v>1</v>
      </c>
      <c r="K219" s="10" t="n">
        <f aca="false">IF(B219=0,"",E219/B219)</f>
        <v>0</v>
      </c>
    </row>
    <row r="223" customFormat="false" ht="15" hidden="false" customHeight="false" outlineLevel="0" collapsed="false">
      <c r="A223" s="7" t="s">
        <v>80</v>
      </c>
    </row>
    <row r="224" customFormat="false" ht="23.85" hidden="false" customHeight="false" outlineLevel="0" collapsed="false">
      <c r="A224" s="8" t="s">
        <v>40</v>
      </c>
      <c r="B224" s="8" t="s">
        <v>9</v>
      </c>
      <c r="C224" s="8" t="s">
        <v>41</v>
      </c>
      <c r="D224" s="8" t="s">
        <v>42</v>
      </c>
      <c r="E224" s="8" t="s">
        <v>43</v>
      </c>
      <c r="F224" s="8" t="s">
        <v>44</v>
      </c>
      <c r="G224" s="8" t="s">
        <v>10</v>
      </c>
      <c r="H224" s="8" t="s">
        <v>11</v>
      </c>
      <c r="I224" s="8" t="s">
        <v>12</v>
      </c>
      <c r="J224" s="8" t="s">
        <v>13</v>
      </c>
      <c r="K224" s="8" t="s">
        <v>14</v>
      </c>
    </row>
    <row r="225" customFormat="false" ht="15" hidden="false" customHeight="false" outlineLevel="0" collapsed="false">
      <c r="A225" s="9" t="s">
        <v>45</v>
      </c>
      <c r="B225" s="9" t="n">
        <f aca="false">COUNTIFS(Employee!$O$5:$O$72,"&lt;&gt;",Employee!$B$5:$B$72,"A - Daily")</f>
        <v>10</v>
      </c>
      <c r="C225" s="9" t="n">
        <f aca="false">COUNTIFS(Employee!$O$5:$O$72,"Correct",Employee!$B$5:$B$72,"A - Daily")</f>
        <v>6</v>
      </c>
      <c r="D225" s="9" t="n">
        <f aca="false">COUNTIFS(Employee!$O$5:$O$72,"Safe ask",Employee!$B$5:$B$72,"A - Daily")</f>
        <v>0</v>
      </c>
      <c r="E225" s="9" t="n">
        <f aca="false">COUNTIFS(Employee!$O$5:$O$72,"Silent wrong",Employee!$B$5:$B$72,"A - Daily")</f>
        <v>0</v>
      </c>
      <c r="F225" s="9" t="n">
        <f aca="false">COUNTIFS(Employee!$O$5:$O$72,"Missed",Employee!$B$5:$B$72,"A - Daily")</f>
        <v>4</v>
      </c>
      <c r="G225" s="10" t="n">
        <f aca="false">IF(B225=0,"",C225/B225)</f>
        <v>0.6</v>
      </c>
      <c r="H225" s="10" t="n">
        <f aca="false">IF(B225=0,"",(((C225/B225)+$B$3^2/(2*B225))-($B$3*SQRT((C225/B225)*(1-(C225/B225))/B225+$B$3^2/(4*B225^2))))/(1+$B$3^2/B225))</f>
        <v>0.312669547450186</v>
      </c>
      <c r="I225" s="10" t="n">
        <f aca="false">IF(B225=0,"",(((C225/B225)+$B$3^2/(2*B225))+($B$3*SQRT((C225/B225)*(1-(C225/B225))/B225+$B$3^2/(4*B225^2))))/(1+$B$3^2/B225))</f>
        <v>0.83182241879649</v>
      </c>
      <c r="J225" s="10" t="n">
        <f aca="false">IF(B225=0,"",(C225+D225)/B225)</f>
        <v>0.6</v>
      </c>
      <c r="K225" s="10" t="n">
        <f aca="false">IF(B225=0,"",E225/B225)</f>
        <v>0</v>
      </c>
    </row>
    <row r="226" customFormat="false" ht="15" hidden="false" customHeight="false" outlineLevel="0" collapsed="false">
      <c r="A226" s="9" t="s">
        <v>46</v>
      </c>
      <c r="B226" s="9" t="n">
        <f aca="false">COUNTIFS(Employee!$O$5:$O$72,"&lt;&gt;",Employee!$B$5:$B$72,"B - Tricky")</f>
        <v>10</v>
      </c>
      <c r="C226" s="9" t="n">
        <f aca="false">COUNTIFS(Employee!$O$5:$O$72,"Correct",Employee!$B$5:$B$72,"B - Tricky")</f>
        <v>5</v>
      </c>
      <c r="D226" s="9" t="n">
        <f aca="false">COUNTIFS(Employee!$O$5:$O$72,"Safe ask",Employee!$B$5:$B$72,"B - Tricky")</f>
        <v>1</v>
      </c>
      <c r="E226" s="9" t="n">
        <f aca="false">COUNTIFS(Employee!$O$5:$O$72,"Silent wrong",Employee!$B$5:$B$72,"B - Tricky")</f>
        <v>3</v>
      </c>
      <c r="F226" s="9" t="n">
        <f aca="false">COUNTIFS(Employee!$O$5:$O$72,"Missed",Employee!$B$5:$B$72,"B - Tricky")</f>
        <v>1</v>
      </c>
      <c r="G226" s="10" t="n">
        <f aca="false">IF(B226=0,"",C226/B226)</f>
        <v>0.5</v>
      </c>
      <c r="H226" s="10" t="n">
        <f aca="false">IF(B226=0,"",(((C226/B226)+$B$3^2/(2*B226))-($B$3*SQRT((C226/B226)*(1-(C226/B226))/B226+$B$3^2/(4*B226^2))))/(1+$B$3^2/B226))</f>
        <v>0.236589593615487</v>
      </c>
      <c r="I226" s="10" t="n">
        <f aca="false">IF(B226=0,"",(((C226/B226)+$B$3^2/(2*B226))+($B$3*SQRT((C226/B226)*(1-(C226/B226))/B226+$B$3^2/(4*B226^2))))/(1+$B$3^2/B226))</f>
        <v>0.763410406384513</v>
      </c>
      <c r="J226" s="10" t="n">
        <f aca="false">IF(B226=0,"",(C226+D226)/B226)</f>
        <v>0.6</v>
      </c>
      <c r="K226" s="10" t="n">
        <f aca="false">IF(B226=0,"",E226/B226)</f>
        <v>0.3</v>
      </c>
    </row>
    <row r="227" customFormat="false" ht="15" hidden="false" customHeight="false" outlineLevel="0" collapsed="false">
      <c r="A227" s="9" t="s">
        <v>47</v>
      </c>
      <c r="B227" s="9" t="n">
        <f aca="false">COUNTIFS(Employee!$O$5:$O$72,"&lt;&gt;",Employee!$B$5:$B$72,"C - Edge")</f>
        <v>10</v>
      </c>
      <c r="C227" s="9" t="n">
        <f aca="false">COUNTIFS(Employee!$O$5:$O$72,"Correct",Employee!$B$5:$B$72,"C - Edge")</f>
        <v>4</v>
      </c>
      <c r="D227" s="9" t="n">
        <f aca="false">COUNTIFS(Employee!$O$5:$O$72,"Safe ask",Employee!$B$5:$B$72,"C - Edge")</f>
        <v>4</v>
      </c>
      <c r="E227" s="9" t="n">
        <f aca="false">COUNTIFS(Employee!$O$5:$O$72,"Silent wrong",Employee!$B$5:$B$72,"C - Edge")</f>
        <v>2</v>
      </c>
      <c r="F227" s="9" t="n">
        <f aca="false">COUNTIFS(Employee!$O$5:$O$72,"Missed",Employee!$B$5:$B$72,"C - Edge")</f>
        <v>0</v>
      </c>
      <c r="G227" s="10" t="n">
        <f aca="false">IF(B227=0,"",C227/B227)</f>
        <v>0.4</v>
      </c>
      <c r="H227" s="10" t="n">
        <f aca="false">IF(B227=0,"",(((C227/B227)+$B$3^2/(2*B227))-($B$3*SQRT((C227/B227)*(1-(C227/B227))/B227+$B$3^2/(4*B227^2))))/(1+$B$3^2/B227))</f>
        <v>0.16817758120351</v>
      </c>
      <c r="I227" s="10" t="n">
        <f aca="false">IF(B227=0,"",(((C227/B227)+$B$3^2/(2*B227))+($B$3*SQRT((C227/B227)*(1-(C227/B227))/B227+$B$3^2/(4*B227^2))))/(1+$B$3^2/B227))</f>
        <v>0.687330452549814</v>
      </c>
      <c r="J227" s="10" t="n">
        <f aca="false">IF(B227=0,"",(C227+D227)/B227)</f>
        <v>0.8</v>
      </c>
      <c r="K227" s="10" t="n">
        <f aca="false">IF(B227=0,"",E227/B227)</f>
        <v>0.2</v>
      </c>
    </row>
    <row r="228" customFormat="false" ht="15" hidden="false" customHeight="false" outlineLevel="0" collapsed="false">
      <c r="A228" s="9" t="s">
        <v>48</v>
      </c>
      <c r="B228" s="9" t="n">
        <f aca="false">COUNTIFS(Employee!$O$5:$O$72,"&lt;&gt;",Employee!$B$5:$B$72,"D - Other business")</f>
        <v>10</v>
      </c>
      <c r="C228" s="9" t="n">
        <f aca="false">COUNTIFS(Employee!$O$5:$O$72,"Correct",Employee!$B$5:$B$72,"D - Other business")</f>
        <v>3</v>
      </c>
      <c r="D228" s="9" t="n">
        <f aca="false">COUNTIFS(Employee!$O$5:$O$72,"Safe ask",Employee!$B$5:$B$72,"D - Other business")</f>
        <v>1</v>
      </c>
      <c r="E228" s="9" t="n">
        <f aca="false">COUNTIFS(Employee!$O$5:$O$72,"Silent wrong",Employee!$B$5:$B$72,"D - Other business")</f>
        <v>4</v>
      </c>
      <c r="F228" s="9" t="n">
        <f aca="false">COUNTIFS(Employee!$O$5:$O$72,"Missed",Employee!$B$5:$B$72,"D - Other business")</f>
        <v>2</v>
      </c>
      <c r="G228" s="10" t="n">
        <f aca="false">IF(B228=0,"",C228/B228)</f>
        <v>0.3</v>
      </c>
      <c r="H228" s="10" t="n">
        <f aca="false">IF(B228=0,"",(((C228/B228)+$B$3^2/(2*B228))-($B$3*SQRT((C228/B228)*(1-(C228/B228))/B228+$B$3^2/(4*B228^2))))/(1+$B$3^2/B228))</f>
        <v>0.107789287486212</v>
      </c>
      <c r="I228" s="10" t="n">
        <f aca="false">IF(B228=0,"",(((C228/B228)+$B$3^2/(2*B228))+($B$3*SQRT((C228/B228)*(1-(C228/B228))/B228+$B$3^2/(4*B228^2))))/(1+$B$3^2/B228))</f>
        <v>0.603226780020435</v>
      </c>
      <c r="J228" s="10" t="n">
        <f aca="false">IF(B228=0,"",(C228+D228)/B228)</f>
        <v>0.4</v>
      </c>
      <c r="K228" s="10" t="n">
        <f aca="false">IF(B228=0,"",E228/B228)</f>
        <v>0.4</v>
      </c>
    </row>
    <row r="229" customFormat="false" ht="15" hidden="false" customHeight="false" outlineLevel="0" collapsed="false">
      <c r="A229" s="9" t="s">
        <v>49</v>
      </c>
      <c r="B229" s="9" t="n">
        <f aca="false">COUNTIFS(Employee!$O$5:$O$72,"&lt;&gt;",Employee!$B$5:$B$72,"E - Mixed")</f>
        <v>24</v>
      </c>
      <c r="C229" s="9" t="n">
        <f aca="false">COUNTIFS(Employee!$O$5:$O$72,"Correct",Employee!$B$5:$B$72,"E - Mixed")</f>
        <v>10</v>
      </c>
      <c r="D229" s="9" t="n">
        <f aca="false">COUNTIFS(Employee!$O$5:$O$72,"Safe ask",Employee!$B$5:$B$72,"E - Mixed")</f>
        <v>0</v>
      </c>
      <c r="E229" s="9" t="n">
        <f aca="false">COUNTIFS(Employee!$O$5:$O$72,"Silent wrong",Employee!$B$5:$B$72,"E - Mixed")</f>
        <v>0</v>
      </c>
      <c r="F229" s="9" t="n">
        <f aca="false">COUNTIFS(Employee!$O$5:$O$72,"Missed",Employee!$B$5:$B$72,"E - Mixed")</f>
        <v>14</v>
      </c>
      <c r="G229" s="10" t="n">
        <f aca="false">IF(B229=0,"",C229/B229)</f>
        <v>0.416666666666667</v>
      </c>
      <c r="H229" s="10" t="n">
        <f aca="false">IF(B229=0,"",(((C229/B229)+$B$3^2/(2*B229))-($B$3*SQRT((C229/B229)*(1-(C229/B229))/B229+$B$3^2/(4*B229^2))))/(1+$B$3^2/B229))</f>
        <v>0.244673472465382</v>
      </c>
      <c r="I229" s="10" t="n">
        <f aca="false">IF(B229=0,"",(((C229/B229)+$B$3^2/(2*B229))+($B$3*SQRT((C229/B229)*(1-(C229/B229))/B229+$B$3^2/(4*B229^2))))/(1+$B$3^2/B229))</f>
        <v>0.611656623506114</v>
      </c>
      <c r="J229" s="10" t="n">
        <f aca="false">IF(B229=0,"",(C229+D229)/B229)</f>
        <v>0.416666666666667</v>
      </c>
      <c r="K229" s="10" t="n">
        <f aca="false">IF(B229=0,"",E229/B229)</f>
        <v>0</v>
      </c>
    </row>
    <row r="230" customFormat="false" ht="15" hidden="false" customHeight="false" outlineLevel="0" collapsed="false">
      <c r="A230" s="3" t="s">
        <v>50</v>
      </c>
      <c r="B230" s="9" t="n">
        <f aca="false">COUNTIFS(Employee!$O$5:$O$72,"&lt;&gt;")</f>
        <v>64</v>
      </c>
      <c r="C230" s="9" t="n">
        <f aca="false">COUNTIFS(Employee!$O$5:$O$72,"Correct")</f>
        <v>28</v>
      </c>
      <c r="D230" s="9" t="n">
        <f aca="false">COUNTIFS(Employee!$O$5:$O$72,"Safe ask")</f>
        <v>6</v>
      </c>
      <c r="E230" s="9" t="n">
        <f aca="false">COUNTIFS(Employee!$O$5:$O$72,"Silent wrong")</f>
        <v>9</v>
      </c>
      <c r="F230" s="9" t="n">
        <f aca="false">COUNTIFS(Employee!$O$5:$O$72,"Missed")</f>
        <v>21</v>
      </c>
      <c r="G230" s="10" t="n">
        <f aca="false">IF(B230=0,"",C230/B230)</f>
        <v>0.4375</v>
      </c>
      <c r="H230" s="10" t="n">
        <f aca="false">IF(B230=0,"",(((C230/B230)+$B$3^2/(2*B230))-($B$3*SQRT((C230/B230)*(1-(C230/B230))/B230+$B$3^2/(4*B230^2))))/(1+$B$3^2/B230))</f>
        <v>0.322938170654273</v>
      </c>
      <c r="I230" s="10" t="n">
        <f aca="false">IF(B230=0,"",(((C230/B230)+$B$3^2/(2*B230))+($B$3*SQRT((C230/B230)*(1-(C230/B230))/B230+$B$3^2/(4*B230^2))))/(1+$B$3^2/B230))</f>
        <v>0.559140082217121</v>
      </c>
      <c r="J230" s="10" t="n">
        <f aca="false">IF(B230=0,"",(C230+D230)/B230)</f>
        <v>0.53125</v>
      </c>
      <c r="K230" s="10" t="n">
        <f aca="false">IF(B230=0,"",E230/B230)</f>
        <v>0.140625</v>
      </c>
    </row>
    <row r="233" customFormat="false" ht="15" hidden="false" customHeight="false" outlineLevel="0" collapsed="false">
      <c r="A233" s="7" t="s">
        <v>81</v>
      </c>
    </row>
    <row r="234" customFormat="false" ht="23.85" hidden="false" customHeight="false" outlineLevel="0" collapsed="false">
      <c r="A234" s="8" t="s">
        <v>40</v>
      </c>
      <c r="B234" s="8" t="s">
        <v>9</v>
      </c>
      <c r="C234" s="8" t="s">
        <v>41</v>
      </c>
      <c r="D234" s="8" t="s">
        <v>42</v>
      </c>
      <c r="E234" s="8" t="s">
        <v>43</v>
      </c>
      <c r="F234" s="8" t="s">
        <v>44</v>
      </c>
      <c r="G234" s="8" t="s">
        <v>10</v>
      </c>
      <c r="H234" s="8" t="s">
        <v>11</v>
      </c>
      <c r="I234" s="8" t="s">
        <v>12</v>
      </c>
      <c r="J234" s="8" t="s">
        <v>13</v>
      </c>
      <c r="K234" s="8" t="s">
        <v>14</v>
      </c>
    </row>
    <row r="235" customFormat="false" ht="15" hidden="false" customHeight="false" outlineLevel="0" collapsed="false">
      <c r="A235" s="9" t="s">
        <v>45</v>
      </c>
      <c r="B235" s="9" t="n">
        <f aca="false">COUNTIFS(Employee!$P$5:$P$72,"&lt;&gt;",Employee!$B$5:$B$72,"A - Daily")</f>
        <v>10</v>
      </c>
      <c r="C235" s="9" t="n">
        <f aca="false">COUNTIFS(Employee!$P$5:$P$72,"Correct",Employee!$B$5:$B$72,"A - Daily")</f>
        <v>6</v>
      </c>
      <c r="D235" s="9" t="n">
        <f aca="false">COUNTIFS(Employee!$P$5:$P$72,"Safe ask",Employee!$B$5:$B$72,"A - Daily")</f>
        <v>0</v>
      </c>
      <c r="E235" s="9" t="n">
        <f aca="false">COUNTIFS(Employee!$P$5:$P$72,"Silent wrong",Employee!$B$5:$B$72,"A - Daily")</f>
        <v>1</v>
      </c>
      <c r="F235" s="9" t="n">
        <f aca="false">COUNTIFS(Employee!$P$5:$P$72,"Missed",Employee!$B$5:$B$72,"A - Daily")</f>
        <v>3</v>
      </c>
      <c r="G235" s="10" t="n">
        <f aca="false">IF(B235=0,"",C235/B235)</f>
        <v>0.6</v>
      </c>
      <c r="H235" s="10" t="n">
        <f aca="false">IF(B235=0,"",(((C235/B235)+$B$3^2/(2*B235))-($B$3*SQRT((C235/B235)*(1-(C235/B235))/B235+$B$3^2/(4*B235^2))))/(1+$B$3^2/B235))</f>
        <v>0.312669547450186</v>
      </c>
      <c r="I235" s="10" t="n">
        <f aca="false">IF(B235=0,"",(((C235/B235)+$B$3^2/(2*B235))+($B$3*SQRT((C235/B235)*(1-(C235/B235))/B235+$B$3^2/(4*B235^2))))/(1+$B$3^2/B235))</f>
        <v>0.83182241879649</v>
      </c>
      <c r="J235" s="10" t="n">
        <f aca="false">IF(B235=0,"",(C235+D235)/B235)</f>
        <v>0.6</v>
      </c>
      <c r="K235" s="10" t="n">
        <f aca="false">IF(B235=0,"",E235/B235)</f>
        <v>0.1</v>
      </c>
    </row>
    <row r="236" customFormat="false" ht="15" hidden="false" customHeight="false" outlineLevel="0" collapsed="false">
      <c r="A236" s="9" t="s">
        <v>46</v>
      </c>
      <c r="B236" s="9" t="n">
        <f aca="false">COUNTIFS(Employee!$P$5:$P$72,"&lt;&gt;",Employee!$B$5:$B$72,"B - Tricky")</f>
        <v>10</v>
      </c>
      <c r="C236" s="9" t="n">
        <f aca="false">COUNTIFS(Employee!$P$5:$P$72,"Correct",Employee!$B$5:$B$72,"B - Tricky")</f>
        <v>5</v>
      </c>
      <c r="D236" s="9" t="n">
        <f aca="false">COUNTIFS(Employee!$P$5:$P$72,"Safe ask",Employee!$B$5:$B$72,"B - Tricky")</f>
        <v>1</v>
      </c>
      <c r="E236" s="9" t="n">
        <f aca="false">COUNTIFS(Employee!$P$5:$P$72,"Silent wrong",Employee!$B$5:$B$72,"B - Tricky")</f>
        <v>2</v>
      </c>
      <c r="F236" s="9" t="n">
        <f aca="false">COUNTIFS(Employee!$P$5:$P$72,"Missed",Employee!$B$5:$B$72,"B - Tricky")</f>
        <v>2</v>
      </c>
      <c r="G236" s="10" t="n">
        <f aca="false">IF(B236=0,"",C236/B236)</f>
        <v>0.5</v>
      </c>
      <c r="H236" s="10" t="n">
        <f aca="false">IF(B236=0,"",(((C236/B236)+$B$3^2/(2*B236))-($B$3*SQRT((C236/B236)*(1-(C236/B236))/B236+$B$3^2/(4*B236^2))))/(1+$B$3^2/B236))</f>
        <v>0.236589593615487</v>
      </c>
      <c r="I236" s="10" t="n">
        <f aca="false">IF(B236=0,"",(((C236/B236)+$B$3^2/(2*B236))+($B$3*SQRT((C236/B236)*(1-(C236/B236))/B236+$B$3^2/(4*B236^2))))/(1+$B$3^2/B236))</f>
        <v>0.763410406384513</v>
      </c>
      <c r="J236" s="10" t="n">
        <f aca="false">IF(B236=0,"",(C236+D236)/B236)</f>
        <v>0.6</v>
      </c>
      <c r="K236" s="10" t="n">
        <f aca="false">IF(B236=0,"",E236/B236)</f>
        <v>0.2</v>
      </c>
    </row>
    <row r="237" customFormat="false" ht="15" hidden="false" customHeight="false" outlineLevel="0" collapsed="false">
      <c r="A237" s="9" t="s">
        <v>47</v>
      </c>
      <c r="B237" s="9" t="n">
        <f aca="false">COUNTIFS(Employee!$P$5:$P$72,"&lt;&gt;",Employee!$B$5:$B$72,"C - Edge")</f>
        <v>10</v>
      </c>
      <c r="C237" s="9" t="n">
        <f aca="false">COUNTIFS(Employee!$P$5:$P$72,"Correct",Employee!$B$5:$B$72,"C - Edge")</f>
        <v>5</v>
      </c>
      <c r="D237" s="9" t="n">
        <f aca="false">COUNTIFS(Employee!$P$5:$P$72,"Safe ask",Employee!$B$5:$B$72,"C - Edge")</f>
        <v>2</v>
      </c>
      <c r="E237" s="9" t="n">
        <f aca="false">COUNTIFS(Employee!$P$5:$P$72,"Silent wrong",Employee!$B$5:$B$72,"C - Edge")</f>
        <v>2</v>
      </c>
      <c r="F237" s="9" t="n">
        <f aca="false">COUNTIFS(Employee!$P$5:$P$72,"Missed",Employee!$B$5:$B$72,"C - Edge")</f>
        <v>1</v>
      </c>
      <c r="G237" s="10" t="n">
        <f aca="false">IF(B237=0,"",C237/B237)</f>
        <v>0.5</v>
      </c>
      <c r="H237" s="10" t="n">
        <f aca="false">IF(B237=0,"",(((C237/B237)+$B$3^2/(2*B237))-($B$3*SQRT((C237/B237)*(1-(C237/B237))/B237+$B$3^2/(4*B237^2))))/(1+$B$3^2/B237))</f>
        <v>0.236589593615487</v>
      </c>
      <c r="I237" s="10" t="n">
        <f aca="false">IF(B237=0,"",(((C237/B237)+$B$3^2/(2*B237))+($B$3*SQRT((C237/B237)*(1-(C237/B237))/B237+$B$3^2/(4*B237^2))))/(1+$B$3^2/B237))</f>
        <v>0.763410406384513</v>
      </c>
      <c r="J237" s="10" t="n">
        <f aca="false">IF(B237=0,"",(C237+D237)/B237)</f>
        <v>0.7</v>
      </c>
      <c r="K237" s="10" t="n">
        <f aca="false">IF(B237=0,"",E237/B237)</f>
        <v>0.2</v>
      </c>
    </row>
    <row r="238" customFormat="false" ht="15" hidden="false" customHeight="false" outlineLevel="0" collapsed="false">
      <c r="A238" s="9" t="s">
        <v>48</v>
      </c>
      <c r="B238" s="9" t="n">
        <f aca="false">COUNTIFS(Employee!$P$5:$P$72,"&lt;&gt;",Employee!$B$5:$B$72,"D - Other business")</f>
        <v>10</v>
      </c>
      <c r="C238" s="9" t="n">
        <f aca="false">COUNTIFS(Employee!$P$5:$P$72,"Correct",Employee!$B$5:$B$72,"D - Other business")</f>
        <v>3</v>
      </c>
      <c r="D238" s="9" t="n">
        <f aca="false">COUNTIFS(Employee!$P$5:$P$72,"Safe ask",Employee!$B$5:$B$72,"D - Other business")</f>
        <v>0</v>
      </c>
      <c r="E238" s="9" t="n">
        <f aca="false">COUNTIFS(Employee!$P$5:$P$72,"Silent wrong",Employee!$B$5:$B$72,"D - Other business")</f>
        <v>3</v>
      </c>
      <c r="F238" s="9" t="n">
        <f aca="false">COUNTIFS(Employee!$P$5:$P$72,"Missed",Employee!$B$5:$B$72,"D - Other business")</f>
        <v>4</v>
      </c>
      <c r="G238" s="10" t="n">
        <f aca="false">IF(B238=0,"",C238/B238)</f>
        <v>0.3</v>
      </c>
      <c r="H238" s="10" t="n">
        <f aca="false">IF(B238=0,"",(((C238/B238)+$B$3^2/(2*B238))-($B$3*SQRT((C238/B238)*(1-(C238/B238))/B238+$B$3^2/(4*B238^2))))/(1+$B$3^2/B238))</f>
        <v>0.107789287486212</v>
      </c>
      <c r="I238" s="10" t="n">
        <f aca="false">IF(B238=0,"",(((C238/B238)+$B$3^2/(2*B238))+($B$3*SQRT((C238/B238)*(1-(C238/B238))/B238+$B$3^2/(4*B238^2))))/(1+$B$3^2/B238))</f>
        <v>0.603226780020435</v>
      </c>
      <c r="J238" s="10" t="n">
        <f aca="false">IF(B238=0,"",(C238+D238)/B238)</f>
        <v>0.3</v>
      </c>
      <c r="K238" s="10" t="n">
        <f aca="false">IF(B238=0,"",E238/B238)</f>
        <v>0.3</v>
      </c>
    </row>
    <row r="239" customFormat="false" ht="15" hidden="false" customHeight="false" outlineLevel="0" collapsed="false">
      <c r="A239" s="9" t="s">
        <v>49</v>
      </c>
      <c r="B239" s="9" t="n">
        <f aca="false">COUNTIFS(Employee!$P$5:$P$72,"&lt;&gt;",Employee!$B$5:$B$72,"E - Mixed")</f>
        <v>26</v>
      </c>
      <c r="C239" s="9" t="n">
        <f aca="false">COUNTIFS(Employee!$P$5:$P$72,"Correct",Employee!$B$5:$B$72,"E - Mixed")</f>
        <v>13</v>
      </c>
      <c r="D239" s="9" t="n">
        <f aca="false">COUNTIFS(Employee!$P$5:$P$72,"Safe ask",Employee!$B$5:$B$72,"E - Mixed")</f>
        <v>0</v>
      </c>
      <c r="E239" s="9" t="n">
        <f aca="false">COUNTIFS(Employee!$P$5:$P$72,"Silent wrong",Employee!$B$5:$B$72,"E - Mixed")</f>
        <v>3</v>
      </c>
      <c r="F239" s="9" t="n">
        <f aca="false">COUNTIFS(Employee!$P$5:$P$72,"Missed",Employee!$B$5:$B$72,"E - Mixed")</f>
        <v>10</v>
      </c>
      <c r="G239" s="10" t="n">
        <f aca="false">IF(B239=0,"",C239/B239)</f>
        <v>0.5</v>
      </c>
      <c r="H239" s="10" t="n">
        <f aca="false">IF(B239=0,"",(((C239/B239)+$B$3^2/(2*B239))-($B$3*SQRT((C239/B239)*(1-(C239/B239))/B239+$B$3^2/(4*B239^2))))/(1+$B$3^2/B239))</f>
        <v>0.320603063150021</v>
      </c>
      <c r="I239" s="10" t="n">
        <f aca="false">IF(B239=0,"",(((C239/B239)+$B$3^2/(2*B239))+($B$3*SQRT((C239/B239)*(1-(C239/B239))/B239+$B$3^2/(4*B239^2))))/(1+$B$3^2/B239))</f>
        <v>0.679396936849979</v>
      </c>
      <c r="J239" s="10" t="n">
        <f aca="false">IF(B239=0,"",(C239+D239)/B239)</f>
        <v>0.5</v>
      </c>
      <c r="K239" s="10" t="n">
        <f aca="false">IF(B239=0,"",E239/B239)</f>
        <v>0.115384615384615</v>
      </c>
    </row>
    <row r="240" customFormat="false" ht="15" hidden="false" customHeight="false" outlineLevel="0" collapsed="false">
      <c r="A240" s="3" t="s">
        <v>50</v>
      </c>
      <c r="B240" s="9" t="n">
        <f aca="false">COUNTIFS(Employee!$P$5:$P$72,"&lt;&gt;")</f>
        <v>66</v>
      </c>
      <c r="C240" s="9" t="n">
        <f aca="false">COUNTIFS(Employee!$P$5:$P$72,"Correct")</f>
        <v>32</v>
      </c>
      <c r="D240" s="9" t="n">
        <f aca="false">COUNTIFS(Employee!$P$5:$P$72,"Safe ask")</f>
        <v>3</v>
      </c>
      <c r="E240" s="9" t="n">
        <f aca="false">COUNTIFS(Employee!$P$5:$P$72,"Silent wrong")</f>
        <v>11</v>
      </c>
      <c r="F240" s="9" t="n">
        <f aca="false">COUNTIFS(Employee!$P$5:$P$72,"Missed")</f>
        <v>20</v>
      </c>
      <c r="G240" s="10" t="n">
        <f aca="false">IF(B240=0,"",C240/B240)</f>
        <v>0.484848484848485</v>
      </c>
      <c r="H240" s="10" t="n">
        <f aca="false">IF(B240=0,"",(((C240/B240)+$B$3^2/(2*B240))-($B$3*SQRT((C240/B240)*(1-(C240/B240))/B240+$B$3^2/(4*B240^2))))/(1+$B$3^2/B240))</f>
        <v>0.368467620174255</v>
      </c>
      <c r="I240" s="10" t="n">
        <f aca="false">IF(B240=0,"",(((C240/B240)+$B$3^2/(2*B240))+($B$3*SQRT((C240/B240)*(1-(C240/B240))/B240+$B$3^2/(4*B240^2))))/(1+$B$3^2/B240))</f>
        <v>0.602896151560643</v>
      </c>
      <c r="J240" s="10" t="n">
        <f aca="false">IF(B240=0,"",(C240+D240)/B240)</f>
        <v>0.53030303030303</v>
      </c>
      <c r="K240" s="10" t="n">
        <f aca="false">IF(B240=0,"",E240/B240)</f>
        <v>0.166666666666667</v>
      </c>
    </row>
    <row r="243" customFormat="false" ht="15" hidden="false" customHeight="false" outlineLevel="0" collapsed="false">
      <c r="A243" s="7" t="s">
        <v>82</v>
      </c>
    </row>
    <row r="244" customFormat="false" ht="15" hidden="false" customHeight="false" outlineLevel="0" collapsed="false">
      <c r="A244" s="11" t="s">
        <v>83</v>
      </c>
    </row>
    <row r="245" customFormat="false" ht="15" hidden="false" customHeight="false" outlineLevel="0" collapsed="false">
      <c r="A245" s="11" t="s">
        <v>84</v>
      </c>
    </row>
    <row r="246" customFormat="false" ht="15" hidden="false" customHeight="false" outlineLevel="0" collapsed="false">
      <c r="A246" s="11" t="s">
        <v>85</v>
      </c>
    </row>
    <row r="247" customFormat="false" ht="15" hidden="false" customHeight="false" outlineLevel="0" collapsed="false">
      <c r="A247" s="11" t="s">
        <v>86</v>
      </c>
    </row>
    <row r="248" customFormat="false" ht="15" hidden="false" customHeight="false" outlineLevel="0" collapsed="false">
      <c r="A248" s="11"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2" min="2" style="0" width="13"/>
  </cols>
  <sheetData>
    <row r="1" customFormat="false" ht="17.35" hidden="false" customHeight="false" outlineLevel="0" collapsed="false">
      <c r="A1" s="1" t="s">
        <v>88</v>
      </c>
    </row>
    <row r="2" customFormat="false" ht="15" hidden="false" customHeight="false" outlineLevel="0" collapsed="false">
      <c r="A2" s="2" t="s">
        <v>89</v>
      </c>
    </row>
    <row r="4" customFormat="false" ht="15" hidden="false" customHeight="false" outlineLevel="0" collapsed="false">
      <c r="A4" s="7" t="s">
        <v>90</v>
      </c>
    </row>
    <row r="5" customFormat="false" ht="23.85" hidden="false" customHeight="false" outlineLevel="0" collapsed="false">
      <c r="A5" s="8" t="s">
        <v>91</v>
      </c>
      <c r="B5" s="8" t="s">
        <v>9</v>
      </c>
      <c r="C5" s="8" t="s">
        <v>41</v>
      </c>
      <c r="D5" s="8" t="s">
        <v>42</v>
      </c>
      <c r="E5" s="8" t="s">
        <v>43</v>
      </c>
      <c r="F5" s="8" t="s">
        <v>44</v>
      </c>
      <c r="G5" s="8" t="s">
        <v>10</v>
      </c>
      <c r="H5" s="8" t="s">
        <v>11</v>
      </c>
      <c r="I5" s="8" t="s">
        <v>12</v>
      </c>
      <c r="J5" s="8" t="s">
        <v>13</v>
      </c>
      <c r="K5" s="8" t="s">
        <v>14</v>
      </c>
      <c r="L5" s="8" t="s">
        <v>92</v>
      </c>
    </row>
    <row r="6" customFormat="false" ht="15" hidden="false" customHeight="false" outlineLevel="0" collapsed="false">
      <c r="A6" s="9" t="s">
        <v>93</v>
      </c>
      <c r="B6" s="9" t="n">
        <f aca="false">COUNTIFS('Holdout R2 (final)'!$I$5:$I$170,"&lt;&gt;",'Holdout R2 (final)'!$B$5:$B$170,"Employee")</f>
        <v>18</v>
      </c>
      <c r="C6" s="9" t="n">
        <f aca="false">COUNTIFS('Holdout R2 (final)'!$I$5:$I$170,"Correct",'Holdout R2 (final)'!$B$5:$B$170,"Employee")</f>
        <v>16</v>
      </c>
      <c r="D6" s="9" t="n">
        <f aca="false">COUNTIFS('Holdout R2 (final)'!$I$5:$I$170,"Safe ask",'Holdout R2 (final)'!$B$5:$B$170,"Employee")</f>
        <v>0</v>
      </c>
      <c r="E6" s="9" t="n">
        <f aca="false">COUNTIFS('Holdout R2 (final)'!$I$5:$I$170,"Silent wrong",'Holdout R2 (final)'!$B$5:$B$170,"Employee")</f>
        <v>0</v>
      </c>
      <c r="F6" s="9" t="n">
        <f aca="false">COUNTIFS('Holdout R2 (final)'!$I$5:$I$170,"Missed",'Holdout R2 (final)'!$B$5:$B$170,"Employee")</f>
        <v>2</v>
      </c>
      <c r="G6" s="10" t="n">
        <f aca="false">IF(B6=0,"",C6/B6)</f>
        <v>0.888888888888889</v>
      </c>
      <c r="H6" s="10" t="n">
        <f aca="false">IF(B6=0,"",(((C6/B6)+Summary!$B$3^2/(2*B6))-(Summary!$B$3*SQRT((C6/B6)*(1-(C6/B6))/B6+Summary!$B$3^2/(4*B6^2))))/(1+Summary!$B$3^2/B6))</f>
        <v>0.671997551333958</v>
      </c>
      <c r="I6" s="10" t="n">
        <f aca="false">IF(B6=0,"",(((C6/B6)+Summary!$B$3^2/(2*B6))+(Summary!$B$3*SQRT((C6/B6)*(1-(C6/B6))/B6+Summary!$B$3^2/(4*B6^2))))/(1+Summary!$B$3^2/B6))</f>
        <v>0.968981131546417</v>
      </c>
      <c r="J6" s="10" t="n">
        <f aca="false">IF(B6=0,"",(C6+D6)/B6)</f>
        <v>0.888888888888889</v>
      </c>
      <c r="K6" s="10" t="n">
        <f aca="false">IF(B6=0,"",E6/B6)</f>
        <v>0</v>
      </c>
      <c r="L6" s="9" t="s">
        <v>94</v>
      </c>
    </row>
    <row r="7" customFormat="false" ht="15" hidden="false" customHeight="false" outlineLevel="0" collapsed="false">
      <c r="A7" s="9" t="s">
        <v>95</v>
      </c>
      <c r="B7" s="9" t="n">
        <f aca="false">COUNTIFS('Holdout R2 (final)'!$I$5:$I$170,"&lt;&gt;",'Holdout R2 (final)'!$B$5:$B$170,"Customer")</f>
        <v>18</v>
      </c>
      <c r="C7" s="9" t="n">
        <f aca="false">COUNTIFS('Holdout R2 (final)'!$I$5:$I$170,"Correct",'Holdout R2 (final)'!$B$5:$B$170,"Customer")</f>
        <v>11</v>
      </c>
      <c r="D7" s="9" t="n">
        <f aca="false">COUNTIFS('Holdout R2 (final)'!$I$5:$I$170,"Safe ask",'Holdout R2 (final)'!$B$5:$B$170,"Customer")</f>
        <v>1</v>
      </c>
      <c r="E7" s="9" t="n">
        <f aca="false">COUNTIFS('Holdout R2 (final)'!$I$5:$I$170,"Silent wrong",'Holdout R2 (final)'!$B$5:$B$170,"Customer")</f>
        <v>2</v>
      </c>
      <c r="F7" s="9" t="n">
        <f aca="false">COUNTIFS('Holdout R2 (final)'!$I$5:$I$170,"Missed",'Holdout R2 (final)'!$B$5:$B$170,"Customer")</f>
        <v>4</v>
      </c>
      <c r="G7" s="10" t="n">
        <f aca="false">IF(B7=0,"",C7/B7)</f>
        <v>0.611111111111111</v>
      </c>
      <c r="H7" s="10" t="n">
        <f aca="false">IF(B7=0,"",(((C7/B7)+Summary!$B$3^2/(2*B7))-(Summary!$B$3*SQRT((C7/B7)*(1-(C7/B7))/B7+Summary!$B$3^2/(4*B7^2))))/(1+Summary!$B$3^2/B7))</f>
        <v>0.386186685806562</v>
      </c>
      <c r="I7" s="10" t="n">
        <f aca="false">IF(B7=0,"",(((C7/B7)+Summary!$B$3^2/(2*B7))+(Summary!$B$3*SQRT((C7/B7)*(1-(C7/B7))/B7+Summary!$B$3^2/(4*B7^2))))/(1+Summary!$B$3^2/B7))</f>
        <v>0.796950080730688</v>
      </c>
      <c r="J7" s="10" t="n">
        <f aca="false">IF(B7=0,"",(C7+D7)/B7)</f>
        <v>0.666666666666667</v>
      </c>
      <c r="K7" s="10" t="n">
        <f aca="false">IF(B7=0,"",E7/B7)</f>
        <v>0.111111111111111</v>
      </c>
      <c r="L7" s="9" t="s">
        <v>96</v>
      </c>
    </row>
    <row r="8" customFormat="false" ht="15" hidden="false" customHeight="false" outlineLevel="0" collapsed="false">
      <c r="A8" s="9" t="s">
        <v>97</v>
      </c>
      <c r="B8" s="9" t="n">
        <f aca="false">COUNTIFS('Holdout R2 (final)'!$I$5:$I$170,"&lt;&gt;",'Holdout R2 (final)'!$B$5:$B$170,"Supplier")</f>
        <v>16</v>
      </c>
      <c r="C8" s="9" t="n">
        <f aca="false">COUNTIFS('Holdout R2 (final)'!$I$5:$I$170,"Correct",'Holdout R2 (final)'!$B$5:$B$170,"Supplier")</f>
        <v>15</v>
      </c>
      <c r="D8" s="9" t="n">
        <f aca="false">COUNTIFS('Holdout R2 (final)'!$I$5:$I$170,"Safe ask",'Holdout R2 (final)'!$B$5:$B$170,"Supplier")</f>
        <v>0</v>
      </c>
      <c r="E8" s="9" t="n">
        <f aca="false">COUNTIFS('Holdout R2 (final)'!$I$5:$I$170,"Silent wrong",'Holdout R2 (final)'!$B$5:$B$170,"Supplier")</f>
        <v>1</v>
      </c>
      <c r="F8" s="9" t="n">
        <f aca="false">COUNTIFS('Holdout R2 (final)'!$I$5:$I$170,"Missed",'Holdout R2 (final)'!$B$5:$B$170,"Supplier")</f>
        <v>0</v>
      </c>
      <c r="G8" s="10" t="n">
        <f aca="false">IF(B8=0,"",C8/B8)</f>
        <v>0.9375</v>
      </c>
      <c r="H8" s="10" t="n">
        <f aca="false">IF(B8=0,"",(((C8/B8)+Summary!$B$3^2/(2*B8))-(Summary!$B$3*SQRT((C8/B8)*(1-(C8/B8))/B8+Summary!$B$3^2/(4*B8^2))))/(1+Summary!$B$3^2/B8))</f>
        <v>0.716707316319701</v>
      </c>
      <c r="I8" s="10" t="n">
        <f aca="false">IF(B8=0,"",(((C8/B8)+Summary!$B$3^2/(2*B8))+(Summary!$B$3*SQRT((C8/B8)*(1-(C8/B8))/B8+Summary!$B$3^2/(4*B8^2))))/(1+Summary!$B$3^2/B8))</f>
        <v>0.988880942691669</v>
      </c>
      <c r="J8" s="10" t="n">
        <f aca="false">IF(B8=0,"",(C8+D8)/B8)</f>
        <v>0.9375</v>
      </c>
      <c r="K8" s="10" t="n">
        <f aca="false">IF(B8=0,"",E8/B8)</f>
        <v>0.0625</v>
      </c>
      <c r="L8" s="9" t="s">
        <v>98</v>
      </c>
    </row>
    <row r="9" customFormat="false" ht="15" hidden="false" customHeight="false" outlineLevel="0" collapsed="false">
      <c r="A9" s="9" t="s">
        <v>99</v>
      </c>
      <c r="B9" s="9" t="n">
        <f aca="false">COUNTIFS('Holdout R2 (final)'!$I$5:$I$170,"&lt;&gt;",'Holdout R2 (final)'!$B$5:$B$170,"Expense")</f>
        <v>31</v>
      </c>
      <c r="C9" s="9" t="n">
        <f aca="false">COUNTIFS('Holdout R2 (final)'!$I$5:$I$170,"Correct",'Holdout R2 (final)'!$B$5:$B$170,"Expense")</f>
        <v>24</v>
      </c>
      <c r="D9" s="9" t="n">
        <f aca="false">COUNTIFS('Holdout R2 (final)'!$I$5:$I$170,"Safe ask",'Holdout R2 (final)'!$B$5:$B$170,"Expense")</f>
        <v>2</v>
      </c>
      <c r="E9" s="9" t="n">
        <f aca="false">COUNTIFS('Holdout R2 (final)'!$I$5:$I$170,"Silent wrong",'Holdout R2 (final)'!$B$5:$B$170,"Expense")</f>
        <v>1</v>
      </c>
      <c r="F9" s="9" t="n">
        <f aca="false">COUNTIFS('Holdout R2 (final)'!$I$5:$I$170,"Missed",'Holdout R2 (final)'!$B$5:$B$170,"Expense")</f>
        <v>4</v>
      </c>
      <c r="G9" s="10" t="n">
        <f aca="false">IF(B9=0,"",C9/B9)</f>
        <v>0.774193548387097</v>
      </c>
      <c r="H9" s="10" t="n">
        <f aca="false">IF(B9=0,"",(((C9/B9)+Summary!$B$3^2/(2*B9))-(Summary!$B$3*SQRT((C9/B9)*(1-(C9/B9))/B9+Summary!$B$3^2/(4*B9^2))))/(1+Summary!$B$3^2/B9))</f>
        <v>0.601872399413026</v>
      </c>
      <c r="I9" s="10" t="n">
        <f aca="false">IF(B9=0,"",(((C9/B9)+Summary!$B$3^2/(2*B9))+(Summary!$B$3*SQRT((C9/B9)*(1-(C9/B9))/B9+Summary!$B$3^2/(4*B9^2))))/(1+Summary!$B$3^2/B9))</f>
        <v>0.886050084055012</v>
      </c>
      <c r="J9" s="10" t="n">
        <f aca="false">IF(B9=0,"",(C9+D9)/B9)</f>
        <v>0.838709677419355</v>
      </c>
      <c r="K9" s="10" t="n">
        <f aca="false">IF(B9=0,"",E9/B9)</f>
        <v>0.032258064516129</v>
      </c>
      <c r="L9" s="9" t="s">
        <v>100</v>
      </c>
    </row>
    <row r="10" customFormat="false" ht="15" hidden="false" customHeight="false" outlineLevel="0" collapsed="false">
      <c r="A10" s="9" t="s">
        <v>101</v>
      </c>
      <c r="B10" s="9" t="n">
        <f aca="false">COUNTIFS('Holdout R2 (final)'!$I$5:$I$170,"&lt;&gt;",'Holdout R2 (final)'!$B$5:$B$170,"Family")</f>
        <v>17</v>
      </c>
      <c r="C10" s="9" t="n">
        <f aca="false">COUNTIFS('Holdout R2 (final)'!$I$5:$I$170,"Correct",'Holdout R2 (final)'!$B$5:$B$170,"Family")</f>
        <v>11</v>
      </c>
      <c r="D10" s="9" t="n">
        <f aca="false">COUNTIFS('Holdout R2 (final)'!$I$5:$I$170,"Safe ask",'Holdout R2 (final)'!$B$5:$B$170,"Family")</f>
        <v>1</v>
      </c>
      <c r="E10" s="9" t="n">
        <f aca="false">COUNTIFS('Holdout R2 (final)'!$I$5:$I$170,"Silent wrong",'Holdout R2 (final)'!$B$5:$B$170,"Family")</f>
        <v>2</v>
      </c>
      <c r="F10" s="9" t="n">
        <f aca="false">COUNTIFS('Holdout R2 (final)'!$I$5:$I$170,"Missed",'Holdout R2 (final)'!$B$5:$B$170,"Family")</f>
        <v>3</v>
      </c>
      <c r="G10" s="10" t="n">
        <f aca="false">IF(B10=0,"",C10/B10)</f>
        <v>0.647058823529412</v>
      </c>
      <c r="H10" s="10" t="n">
        <f aca="false">IF(B10=0,"",(((C10/B10)+Summary!$B$3^2/(2*B10))-(Summary!$B$3*SQRT((C10/B10)*(1-(C10/B10))/B10+Summary!$B$3^2/(4*B10^2))))/(1+Summary!$B$3^2/B10))</f>
        <v>0.412999667212118</v>
      </c>
      <c r="I10" s="10" t="n">
        <f aca="false">IF(B10=0,"",(((C10/B10)+Summary!$B$3^2/(2*B10))+(Summary!$B$3*SQRT((C10/B10)*(1-(C10/B10))/B10+Summary!$B$3^2/(4*B10^2))))/(1+Summary!$B$3^2/B10))</f>
        <v>0.826905138560951</v>
      </c>
      <c r="J10" s="10" t="n">
        <f aca="false">IF(B10=0,"",(C10+D10)/B10)</f>
        <v>0.705882352941177</v>
      </c>
      <c r="K10" s="10" t="n">
        <f aca="false">IF(B10=0,"",E10/B10)</f>
        <v>0.117647058823529</v>
      </c>
      <c r="L10" s="9" t="s">
        <v>102</v>
      </c>
    </row>
    <row r="11" customFormat="false" ht="15" hidden="false" customHeight="false" outlineLevel="0" collapsed="false">
      <c r="A11" s="9" t="s">
        <v>103</v>
      </c>
      <c r="B11" s="9" t="n">
        <f aca="false">COUNTIFS('Holdout R2 (final)'!$I$5:$I$170,"&lt;&gt;",'Holdout R2 (final)'!$B$5:$B$170,"Stock")</f>
        <v>17</v>
      </c>
      <c r="C11" s="9" t="n">
        <f aca="false">COUNTIFS('Holdout R2 (final)'!$I$5:$I$170,"Correct",'Holdout R2 (final)'!$B$5:$B$170,"Stock")</f>
        <v>13</v>
      </c>
      <c r="D11" s="9" t="n">
        <f aca="false">COUNTIFS('Holdout R2 (final)'!$I$5:$I$170,"Safe ask",'Holdout R2 (final)'!$B$5:$B$170,"Stock")</f>
        <v>0</v>
      </c>
      <c r="E11" s="9" t="n">
        <f aca="false">COUNTIFS('Holdout R2 (final)'!$I$5:$I$170,"Silent wrong",'Holdout R2 (final)'!$B$5:$B$170,"Stock")</f>
        <v>1</v>
      </c>
      <c r="F11" s="9" t="n">
        <f aca="false">COUNTIFS('Holdout R2 (final)'!$I$5:$I$170,"Missed",'Holdout R2 (final)'!$B$5:$B$170,"Stock")</f>
        <v>3</v>
      </c>
      <c r="G11" s="10" t="n">
        <f aca="false">IF(B11=0,"",C11/B11)</f>
        <v>0.764705882352941</v>
      </c>
      <c r="H11" s="10" t="n">
        <f aca="false">IF(B11=0,"",(((C11/B11)+Summary!$B$3^2/(2*B11))-(Summary!$B$3*SQRT((C11/B11)*(1-(C11/B11))/B11+Summary!$B$3^2/(4*B11^2))))/(1+Summary!$B$3^2/B11))</f>
        <v>0.527377541108284</v>
      </c>
      <c r="I11" s="10" t="n">
        <f aca="false">IF(B11=0,"",(((C11/B11)+Summary!$B$3^2/(2*B11))+(Summary!$B$3*SQRT((C11/B11)*(1-(C11/B11))/B11+Summary!$B$3^2/(4*B11^2))))/(1+Summary!$B$3^2/B11))</f>
        <v>0.904451109283241</v>
      </c>
      <c r="J11" s="10" t="n">
        <f aca="false">IF(B11=0,"",(C11+D11)/B11)</f>
        <v>0.764705882352941</v>
      </c>
      <c r="K11" s="10" t="n">
        <f aca="false">IF(B11=0,"",E11/B11)</f>
        <v>0.0588235294117647</v>
      </c>
      <c r="L11" s="9" t="s">
        <v>100</v>
      </c>
    </row>
    <row r="12" customFormat="false" ht="15" hidden="false" customHeight="false" outlineLevel="0" collapsed="false">
      <c r="A12" s="9" t="s">
        <v>104</v>
      </c>
      <c r="B12" s="9" t="n">
        <f aca="false">COUNTIFS('Holdout R2 (final)'!$I$5:$I$170,"&lt;&gt;",'Holdout R2 (final)'!$B$5:$B$170,"Purchase")</f>
        <v>19</v>
      </c>
      <c r="C12" s="9" t="n">
        <f aca="false">COUNTIFS('Holdout R2 (final)'!$I$5:$I$170,"Correct",'Holdout R2 (final)'!$B$5:$B$170,"Purchase")</f>
        <v>11</v>
      </c>
      <c r="D12" s="9" t="n">
        <f aca="false">COUNTIFS('Holdout R2 (final)'!$I$5:$I$170,"Safe ask",'Holdout R2 (final)'!$B$5:$B$170,"Purchase")</f>
        <v>2</v>
      </c>
      <c r="E12" s="9" t="n">
        <f aca="false">COUNTIFS('Holdout R2 (final)'!$I$5:$I$170,"Silent wrong",'Holdout R2 (final)'!$B$5:$B$170,"Purchase")</f>
        <v>3</v>
      </c>
      <c r="F12" s="9" t="n">
        <f aca="false">COUNTIFS('Holdout R2 (final)'!$I$5:$I$170,"Missed",'Holdout R2 (final)'!$B$5:$B$170,"Purchase")</f>
        <v>3</v>
      </c>
      <c r="G12" s="10" t="n">
        <f aca="false">IF(B12=0,"",C12/B12)</f>
        <v>0.578947368421053</v>
      </c>
      <c r="H12" s="10" t="n">
        <f aca="false">IF(B12=0,"",(((C12/B12)+Summary!$B$3^2/(2*B12))-(Summary!$B$3*SQRT((C12/B12)*(1-(C12/B12))/B12+Summary!$B$3^2/(4*B12^2))))/(1+Summary!$B$3^2/B12))</f>
        <v>0.362755514651601</v>
      </c>
      <c r="I12" s="10" t="n">
        <f aca="false">IF(B12=0,"",(((C12/B12)+Summary!$B$3^2/(2*B12))+(Summary!$B$3*SQRT((C12/B12)*(1-(C12/B12))/B12+Summary!$B$3^2/(4*B12^2))))/(1+Summary!$B$3^2/B12))</f>
        <v>0.768583796079696</v>
      </c>
      <c r="J12" s="10" t="n">
        <f aca="false">IF(B12=0,"",(C12+D12)/B12)</f>
        <v>0.68421052631579</v>
      </c>
      <c r="K12" s="10" t="n">
        <f aca="false">IF(B12=0,"",E12/B12)</f>
        <v>0.157894736842105</v>
      </c>
      <c r="L12" s="9" t="s">
        <v>102</v>
      </c>
    </row>
    <row r="13" customFormat="false" ht="15" hidden="false" customHeight="false" outlineLevel="0" collapsed="false">
      <c r="A13" s="9" t="s">
        <v>105</v>
      </c>
      <c r="B13" s="9" t="n">
        <f aca="false">COUNTIFS('Holdout R2 (final)'!$I$5:$I$170,"&lt;&gt;",'Holdout R2 (final)'!$B$5:$B$170,"Report")</f>
        <v>10</v>
      </c>
      <c r="C13" s="9" t="n">
        <f aca="false">COUNTIFS('Holdout R2 (final)'!$I$5:$I$170,"Correct",'Holdout R2 (final)'!$B$5:$B$170,"Report")</f>
        <v>7</v>
      </c>
      <c r="D13" s="9" t="n">
        <f aca="false">COUNTIFS('Holdout R2 (final)'!$I$5:$I$170,"Safe ask",'Holdout R2 (final)'!$B$5:$B$170,"Report")</f>
        <v>0</v>
      </c>
      <c r="E13" s="9" t="n">
        <f aca="false">COUNTIFS('Holdout R2 (final)'!$I$5:$I$170,"Silent wrong",'Holdout R2 (final)'!$B$5:$B$170,"Report")</f>
        <v>3</v>
      </c>
      <c r="F13" s="9" t="n">
        <f aca="false">COUNTIFS('Holdout R2 (final)'!$I$5:$I$170,"Missed",'Holdout R2 (final)'!$B$5:$B$170,"Report")</f>
        <v>0</v>
      </c>
      <c r="G13" s="10" t="n">
        <f aca="false">IF(B13=0,"",C13/B13)</f>
        <v>0.7</v>
      </c>
      <c r="H13" s="10" t="n">
        <f aca="false">IF(B13=0,"",(((C13/B13)+Summary!$B$3^2/(2*B13))-(Summary!$B$3*SQRT((C13/B13)*(1-(C13/B13))/B13+Summary!$B$3^2/(4*B13^2))))/(1+Summary!$B$3^2/B13))</f>
        <v>0.396773219979565</v>
      </c>
      <c r="I13" s="10" t="n">
        <f aca="false">IF(B13=0,"",(((C13/B13)+Summary!$B$3^2/(2*B13))+(Summary!$B$3*SQRT((C13/B13)*(1-(C13/B13))/B13+Summary!$B$3^2/(4*B13^2))))/(1+Summary!$B$3^2/B13))</f>
        <v>0.892210712513788</v>
      </c>
      <c r="J13" s="10" t="n">
        <f aca="false">IF(B13=0,"",(C13+D13)/B13)</f>
        <v>0.7</v>
      </c>
      <c r="K13" s="10" t="n">
        <f aca="false">IF(B13=0,"",E13/B13)</f>
        <v>0.3</v>
      </c>
      <c r="L13" s="9" t="s">
        <v>106</v>
      </c>
    </row>
    <row r="14" customFormat="false" ht="15" hidden="false" customHeight="false" outlineLevel="0" collapsed="false">
      <c r="A14" s="9" t="s">
        <v>107</v>
      </c>
      <c r="B14" s="9" t="n">
        <f aca="false">COUNTIFS('Holdout R2 (final)'!$I$5:$I$170,"&lt;&gt;",'Holdout R2 (final)'!$B$5:$B$170,"Correction")</f>
        <v>10</v>
      </c>
      <c r="C14" s="9" t="n">
        <f aca="false">COUNTIFS('Holdout R2 (final)'!$I$5:$I$170,"Correct",'Holdout R2 (final)'!$B$5:$B$170,"Correction")</f>
        <v>8</v>
      </c>
      <c r="D14" s="9" t="n">
        <f aca="false">COUNTIFS('Holdout R2 (final)'!$I$5:$I$170,"Safe ask",'Holdout R2 (final)'!$B$5:$B$170,"Correction")</f>
        <v>0</v>
      </c>
      <c r="E14" s="9" t="n">
        <f aca="false">COUNTIFS('Holdout R2 (final)'!$I$5:$I$170,"Silent wrong",'Holdout R2 (final)'!$B$5:$B$170,"Correction")</f>
        <v>2</v>
      </c>
      <c r="F14" s="9" t="n">
        <f aca="false">COUNTIFS('Holdout R2 (final)'!$I$5:$I$170,"Missed",'Holdout R2 (final)'!$B$5:$B$170,"Correction")</f>
        <v>0</v>
      </c>
      <c r="G14" s="10" t="n">
        <f aca="false">IF(B14=0,"",C14/B14)</f>
        <v>0.8</v>
      </c>
      <c r="H14" s="10" t="n">
        <f aca="false">IF(B14=0,"",(((C14/B14)+Summary!$B$3^2/(2*B14))-(Summary!$B$3*SQRT((C14/B14)*(1-(C14/B14))/B14+Summary!$B$3^2/(4*B14^2))))/(1+Summary!$B$3^2/B14))</f>
        <v>0.490156846720723</v>
      </c>
      <c r="I14" s="10" t="n">
        <f aca="false">IF(B14=0,"",(((C14/B14)+Summary!$B$3^2/(2*B14))+(Summary!$B$3*SQRT((C14/B14)*(1-(C14/B14))/B14+Summary!$B$3^2/(4*B14^2))))/(1+Summary!$B$3^2/B14))</f>
        <v>0.943319052019307</v>
      </c>
      <c r="J14" s="10" t="n">
        <f aca="false">IF(B14=0,"",(C14+D14)/B14)</f>
        <v>0.8</v>
      </c>
      <c r="K14" s="10" t="n">
        <f aca="false">IF(B14=0,"",E14/B14)</f>
        <v>0.2</v>
      </c>
      <c r="L14" s="9" t="s">
        <v>108</v>
      </c>
    </row>
    <row r="15" customFormat="false" ht="15" hidden="false" customHeight="false" outlineLevel="0" collapsed="false">
      <c r="A15" s="9" t="s">
        <v>109</v>
      </c>
      <c r="B15" s="9" t="n">
        <f aca="false">COUNTIFS('Holdout R2 (final)'!$I$5:$I$170,"&lt;&gt;",'Holdout R2 (final)'!$B$5:$B$170,"Router")</f>
        <v>10</v>
      </c>
      <c r="C15" s="9" t="n">
        <f aca="false">COUNTIFS('Holdout R2 (final)'!$I$5:$I$170,"Correct",'Holdout R2 (final)'!$B$5:$B$170,"Router")</f>
        <v>9</v>
      </c>
      <c r="D15" s="9" t="n">
        <f aca="false">COUNTIFS('Holdout R2 (final)'!$I$5:$I$170,"Safe ask",'Holdout R2 (final)'!$B$5:$B$170,"Router")</f>
        <v>0</v>
      </c>
      <c r="E15" s="9" t="n">
        <f aca="false">COUNTIFS('Holdout R2 (final)'!$I$5:$I$170,"Silent wrong",'Holdout R2 (final)'!$B$5:$B$170,"Router")</f>
        <v>1</v>
      </c>
      <c r="F15" s="9" t="n">
        <f aca="false">COUNTIFS('Holdout R2 (final)'!$I$5:$I$170,"Missed",'Holdout R2 (final)'!$B$5:$B$170,"Router")</f>
        <v>0</v>
      </c>
      <c r="G15" s="10" t="n">
        <f aca="false">IF(B15=0,"",C15/B15)</f>
        <v>0.9</v>
      </c>
      <c r="H15" s="10" t="n">
        <f aca="false">IF(B15=0,"",(((C15/B15)+Summary!$B$3^2/(2*B15))-(Summary!$B$3*SQRT((C15/B15)*(1-(C15/B15))/B15+Summary!$B$3^2/(4*B15^2))))/(1+Summary!$B$3^2/B15))</f>
        <v>0.595843614502428</v>
      </c>
      <c r="I15" s="10" t="n">
        <f aca="false">IF(B15=0,"",(((C15/B15)+Summary!$B$3^2/(2*B15))+(Summary!$B$3*SQRT((C15/B15)*(1-(C15/B15))/B15+Summary!$B$3^2/(4*B15^2))))/(1+Summary!$B$3^2/B15))</f>
        <v>0.982124250484279</v>
      </c>
      <c r="J15" s="10" t="n">
        <f aca="false">IF(B15=0,"",(C15+D15)/B15)</f>
        <v>0.9</v>
      </c>
      <c r="K15" s="10" t="n">
        <f aca="false">IF(B15=0,"",E15/B15)</f>
        <v>0.1</v>
      </c>
      <c r="L15" s="9" t="s">
        <v>110</v>
      </c>
    </row>
    <row r="16" customFormat="false" ht="15" hidden="false" customHeight="false" outlineLevel="0" collapsed="false">
      <c r="A16" s="3" t="s">
        <v>111</v>
      </c>
      <c r="B16" s="9" t="n">
        <f aca="false">COUNTIFS('Holdout R2 (final)'!$I$5:$I$170,"&lt;&gt;")</f>
        <v>166</v>
      </c>
      <c r="C16" s="9" t="n">
        <f aca="false">COUNTIFS('Holdout R2 (final)'!$I$5:$I$170,"Correct")</f>
        <v>125</v>
      </c>
      <c r="D16" s="9" t="n">
        <f aca="false">COUNTIFS('Holdout R2 (final)'!$I$5:$I$170,"Safe ask")</f>
        <v>6</v>
      </c>
      <c r="E16" s="9" t="n">
        <f aca="false">COUNTIFS('Holdout R2 (final)'!$I$5:$I$170,"Silent wrong")</f>
        <v>16</v>
      </c>
      <c r="F16" s="9" t="n">
        <f aca="false">COUNTIFS('Holdout R2 (final)'!$I$5:$I$170,"Missed")</f>
        <v>19</v>
      </c>
      <c r="G16" s="10" t="n">
        <f aca="false">IF(B16=0,"",C16/B16)</f>
        <v>0.753012048192771</v>
      </c>
      <c r="H16" s="10" t="n">
        <f aca="false">IF(B16=0,"",(((C16/B16)+Summary!$B$3^2/(2*B16))-(Summary!$B$3*SQRT((C16/B16)*(1-(C16/B16))/B16+Summary!$B$3^2/(4*B16^2))))/(1+Summary!$B$3^2/B16))</f>
        <v>0.682177861678117</v>
      </c>
      <c r="I16" s="10" t="n">
        <f aca="false">IF(B16=0,"",(((C16/B16)+Summary!$B$3^2/(2*B16))+(Summary!$B$3*SQRT((C16/B16)*(1-(C16/B16))/B16+Summary!$B$3^2/(4*B16^2))))/(1+Summary!$B$3^2/B16))</f>
        <v>0.812400616150636</v>
      </c>
      <c r="J16" s="10" t="n">
        <f aca="false">IF(B16=0,"",(C16+D16)/B16)</f>
        <v>0.789156626506024</v>
      </c>
      <c r="K16" s="10" t="n">
        <f aca="false">IF(B16=0,"",E16/B16)</f>
        <v>0.0963855421686747</v>
      </c>
      <c r="L16" s="9" t="s">
        <v>112</v>
      </c>
    </row>
    <row r="19" customFormat="false" ht="15" hidden="false" customHeight="false" outlineLevel="0" collapsed="false">
      <c r="A19" s="7" t="s">
        <v>113</v>
      </c>
    </row>
    <row r="20" customFormat="false" ht="23.85" hidden="false" customHeight="false" outlineLevel="0" collapsed="false">
      <c r="A20" s="8" t="s">
        <v>91</v>
      </c>
      <c r="B20" s="8" t="s">
        <v>9</v>
      </c>
      <c r="C20" s="8" t="s">
        <v>41</v>
      </c>
      <c r="D20" s="8" t="s">
        <v>42</v>
      </c>
      <c r="E20" s="8" t="s">
        <v>43</v>
      </c>
      <c r="F20" s="8" t="s">
        <v>44</v>
      </c>
      <c r="G20" s="8" t="s">
        <v>10</v>
      </c>
      <c r="H20" s="8" t="s">
        <v>11</v>
      </c>
      <c r="I20" s="8" t="s">
        <v>12</v>
      </c>
      <c r="J20" s="8" t="s">
        <v>13</v>
      </c>
      <c r="K20" s="8" t="s">
        <v>14</v>
      </c>
      <c r="L20" s="8" t="s">
        <v>92</v>
      </c>
    </row>
    <row r="21" customFormat="false" ht="15" hidden="false" customHeight="false" outlineLevel="0" collapsed="false">
      <c r="A21" s="9" t="s">
        <v>93</v>
      </c>
      <c r="B21" s="9" t="n">
        <f aca="false">COUNTIFS('Holdout R1'!$I$5:$I$182,"&lt;&gt;",'Holdout R1'!$B$5:$B$182,"Employee")</f>
        <v>19</v>
      </c>
      <c r="C21" s="9" t="n">
        <f aca="false">COUNTIFS('Holdout R1'!$I$5:$I$182,"Correct",'Holdout R1'!$B$5:$B$182,"Employee")</f>
        <v>15</v>
      </c>
      <c r="D21" s="9" t="n">
        <f aca="false">COUNTIFS('Holdout R1'!$I$5:$I$182,"Safe ask",'Holdout R1'!$B$5:$B$182,"Employee")</f>
        <v>1</v>
      </c>
      <c r="E21" s="9" t="n">
        <f aca="false">COUNTIFS('Holdout R1'!$I$5:$I$182,"Silent wrong",'Holdout R1'!$B$5:$B$182,"Employee")</f>
        <v>2</v>
      </c>
      <c r="F21" s="9" t="n">
        <f aca="false">COUNTIFS('Holdout R1'!$I$5:$I$182,"Missed",'Holdout R1'!$B$5:$B$182,"Employee")</f>
        <v>1</v>
      </c>
      <c r="G21" s="10" t="n">
        <f aca="false">IF(B21=0,"",C21/B21)</f>
        <v>0.789473684210526</v>
      </c>
      <c r="H21" s="10" t="n">
        <f aca="false">IF(B21=0,"",(((C21/B21)+Summary!$B$3^2/(2*B21))-(Summary!$B$3*SQRT((C21/B21)*(1-(C21/B21))/B21+Summary!$B$3^2/(4*B21^2))))/(1+Summary!$B$3^2/B21))</f>
        <v>0.566652857597339</v>
      </c>
      <c r="I21" s="10" t="n">
        <f aca="false">IF(B21=0,"",(((C21/B21)+Summary!$B$3^2/(2*B21))+(Summary!$B$3*SQRT((C21/B21)*(1-(C21/B21))/B21+Summary!$B$3^2/(4*B21^2))))/(1+Summary!$B$3^2/B21))</f>
        <v>0.914924615084084</v>
      </c>
      <c r="J21" s="10" t="n">
        <f aca="false">IF(B21=0,"",(C21+D21)/B21)</f>
        <v>0.842105263157895</v>
      </c>
      <c r="K21" s="10" t="n">
        <f aca="false">IF(B21=0,"",E21/B21)</f>
        <v>0.105263157894737</v>
      </c>
      <c r="L21" s="9" t="s">
        <v>100</v>
      </c>
    </row>
    <row r="22" customFormat="false" ht="15" hidden="false" customHeight="false" outlineLevel="0" collapsed="false">
      <c r="A22" s="9" t="s">
        <v>95</v>
      </c>
      <c r="B22" s="9" t="n">
        <f aca="false">COUNTIFS('Holdout R1'!$I$5:$I$182,"&lt;&gt;",'Holdout R1'!$B$5:$B$182,"Customer")</f>
        <v>19</v>
      </c>
      <c r="C22" s="9" t="n">
        <f aca="false">COUNTIFS('Holdout R1'!$I$5:$I$182,"Correct",'Holdout R1'!$B$5:$B$182,"Customer")</f>
        <v>11</v>
      </c>
      <c r="D22" s="9" t="n">
        <f aca="false">COUNTIFS('Holdout R1'!$I$5:$I$182,"Safe ask",'Holdout R1'!$B$5:$B$182,"Customer")</f>
        <v>0</v>
      </c>
      <c r="E22" s="9" t="n">
        <f aca="false">COUNTIFS('Holdout R1'!$I$5:$I$182,"Silent wrong",'Holdout R1'!$B$5:$B$182,"Customer")</f>
        <v>6</v>
      </c>
      <c r="F22" s="9" t="n">
        <f aca="false">COUNTIFS('Holdout R1'!$I$5:$I$182,"Missed",'Holdout R1'!$B$5:$B$182,"Customer")</f>
        <v>2</v>
      </c>
      <c r="G22" s="10" t="n">
        <f aca="false">IF(B22=0,"",C22/B22)</f>
        <v>0.578947368421053</v>
      </c>
      <c r="H22" s="10" t="n">
        <f aca="false">IF(B22=0,"",(((C22/B22)+Summary!$B$3^2/(2*B22))-(Summary!$B$3*SQRT((C22/B22)*(1-(C22/B22))/B22+Summary!$B$3^2/(4*B22^2))))/(1+Summary!$B$3^2/B22))</f>
        <v>0.362755514651601</v>
      </c>
      <c r="I22" s="10" t="n">
        <f aca="false">IF(B22=0,"",(((C22/B22)+Summary!$B$3^2/(2*B22))+(Summary!$B$3*SQRT((C22/B22)*(1-(C22/B22))/B22+Summary!$B$3^2/(4*B22^2))))/(1+Summary!$B$3^2/B22))</f>
        <v>0.768583796079696</v>
      </c>
      <c r="J22" s="10" t="n">
        <f aca="false">IF(B22=0,"",(C22+D22)/B22)</f>
        <v>0.578947368421053</v>
      </c>
      <c r="K22" s="10" t="n">
        <f aca="false">IF(B22=0,"",E22/B22)</f>
        <v>0.315789473684211</v>
      </c>
      <c r="L22" s="9" t="s">
        <v>114</v>
      </c>
    </row>
    <row r="23" customFormat="false" ht="15" hidden="false" customHeight="false" outlineLevel="0" collapsed="false">
      <c r="A23" s="9" t="s">
        <v>97</v>
      </c>
      <c r="B23" s="9" t="n">
        <f aca="false">COUNTIFS('Holdout R1'!$I$5:$I$182,"&lt;&gt;",'Holdout R1'!$B$5:$B$182,"Supplier")</f>
        <v>18</v>
      </c>
      <c r="C23" s="9" t="n">
        <f aca="false">COUNTIFS('Holdout R1'!$I$5:$I$182,"Correct",'Holdout R1'!$B$5:$B$182,"Supplier")</f>
        <v>10</v>
      </c>
      <c r="D23" s="9" t="n">
        <f aca="false">COUNTIFS('Holdout R1'!$I$5:$I$182,"Safe ask",'Holdout R1'!$B$5:$B$182,"Supplier")</f>
        <v>1</v>
      </c>
      <c r="E23" s="9" t="n">
        <f aca="false">COUNTIFS('Holdout R1'!$I$5:$I$182,"Silent wrong",'Holdout R1'!$B$5:$B$182,"Supplier")</f>
        <v>3</v>
      </c>
      <c r="F23" s="9" t="n">
        <f aca="false">COUNTIFS('Holdout R1'!$I$5:$I$182,"Missed",'Holdout R1'!$B$5:$B$182,"Supplier")</f>
        <v>4</v>
      </c>
      <c r="G23" s="10" t="n">
        <f aca="false">IF(B23=0,"",C23/B23)</f>
        <v>0.555555555555556</v>
      </c>
      <c r="H23" s="10" t="n">
        <f aca="false">IF(B23=0,"",(((C23/B23)+Summary!$B$3^2/(2*B23))-(Summary!$B$3*SQRT((C23/B23)*(1-(C23/B23))/B23+Summary!$B$3^2/(4*B23^2))))/(1+Summary!$B$3^2/B23))</f>
        <v>0.337160694282516</v>
      </c>
      <c r="I23" s="10" t="n">
        <f aca="false">IF(B23=0,"",(((C23/B23)+Summary!$B$3^2/(2*B23))+(Summary!$B$3*SQRT((C23/B23)*(1-(C23/B23))/B23+Summary!$B$3^2/(4*B23^2))))/(1+Summary!$B$3^2/B23))</f>
        <v>0.754407688986109</v>
      </c>
      <c r="J23" s="10" t="n">
        <f aca="false">IF(B23=0,"",(C23+D23)/B23)</f>
        <v>0.611111111111111</v>
      </c>
      <c r="K23" s="10" t="n">
        <f aca="false">IF(B23=0,"",E23/B23)</f>
        <v>0.166666666666667</v>
      </c>
      <c r="L23" s="9" t="s">
        <v>114</v>
      </c>
    </row>
    <row r="24" customFormat="false" ht="15" hidden="false" customHeight="false" outlineLevel="0" collapsed="false">
      <c r="A24" s="9" t="s">
        <v>99</v>
      </c>
      <c r="B24" s="9" t="n">
        <f aca="false">COUNTIFS('Holdout R1'!$I$5:$I$182,"&lt;&gt;",'Holdout R1'!$B$5:$B$182,"Expense")</f>
        <v>33</v>
      </c>
      <c r="C24" s="9" t="n">
        <f aca="false">COUNTIFS('Holdout R1'!$I$5:$I$182,"Correct",'Holdout R1'!$B$5:$B$182,"Expense")</f>
        <v>16</v>
      </c>
      <c r="D24" s="9" t="n">
        <f aca="false">COUNTIFS('Holdout R1'!$I$5:$I$182,"Safe ask",'Holdout R1'!$B$5:$B$182,"Expense")</f>
        <v>0</v>
      </c>
      <c r="E24" s="9" t="n">
        <f aca="false">COUNTIFS('Holdout R1'!$I$5:$I$182,"Silent wrong",'Holdout R1'!$B$5:$B$182,"Expense")</f>
        <v>7</v>
      </c>
      <c r="F24" s="9" t="n">
        <f aca="false">COUNTIFS('Holdout R1'!$I$5:$I$182,"Missed",'Holdout R1'!$B$5:$B$182,"Expense")</f>
        <v>10</v>
      </c>
      <c r="G24" s="10" t="n">
        <f aca="false">IF(B24=0,"",C24/B24)</f>
        <v>0.484848484848485</v>
      </c>
      <c r="H24" s="10" t="n">
        <f aca="false">IF(B24=0,"",(((C24/B24)+Summary!$B$3^2/(2*B24))-(Summary!$B$3*SQRT((C24/B24)*(1-(C24/B24))/B24+Summary!$B$3^2/(4*B24^2))))/(1+Summary!$B$3^2/B24))</f>
        <v>0.325037816469242</v>
      </c>
      <c r="I24" s="10" t="n">
        <f aca="false">IF(B24=0,"",(((C24/B24)+Summary!$B$3^2/(2*B24))+(Summary!$B$3*SQRT((C24/B24)*(1-(C24/B24))/B24+Summary!$B$3^2/(4*B24^2))))/(1+Summary!$B$3^2/B24))</f>
        <v>0.647818954137898</v>
      </c>
      <c r="J24" s="10" t="n">
        <f aca="false">IF(B24=0,"",(C24+D24)/B24)</f>
        <v>0.484848484848485</v>
      </c>
      <c r="K24" s="10" t="n">
        <f aca="false">IF(B24=0,"",E24/B24)</f>
        <v>0.212121212121212</v>
      </c>
      <c r="L24" s="9" t="s">
        <v>115</v>
      </c>
    </row>
    <row r="25" customFormat="false" ht="15" hidden="false" customHeight="false" outlineLevel="0" collapsed="false">
      <c r="A25" s="9" t="s">
        <v>101</v>
      </c>
      <c r="B25" s="9" t="n">
        <f aca="false">COUNTIFS('Holdout R1'!$I$5:$I$182,"&lt;&gt;",'Holdout R1'!$B$5:$B$182,"Family")</f>
        <v>19</v>
      </c>
      <c r="C25" s="9" t="n">
        <f aca="false">COUNTIFS('Holdout R1'!$I$5:$I$182,"Correct",'Holdout R1'!$B$5:$B$182,"Family")</f>
        <v>12</v>
      </c>
      <c r="D25" s="9" t="n">
        <f aca="false">COUNTIFS('Holdout R1'!$I$5:$I$182,"Safe ask",'Holdout R1'!$B$5:$B$182,"Family")</f>
        <v>1</v>
      </c>
      <c r="E25" s="9" t="n">
        <f aca="false">COUNTIFS('Holdout R1'!$I$5:$I$182,"Silent wrong",'Holdout R1'!$B$5:$B$182,"Family")</f>
        <v>4</v>
      </c>
      <c r="F25" s="9" t="n">
        <f aca="false">COUNTIFS('Holdout R1'!$I$5:$I$182,"Missed",'Holdout R1'!$B$5:$B$182,"Family")</f>
        <v>2</v>
      </c>
      <c r="G25" s="10" t="n">
        <f aca="false">IF(B25=0,"",C25/B25)</f>
        <v>0.631578947368421</v>
      </c>
      <c r="H25" s="10" t="n">
        <f aca="false">IF(B25=0,"",(((C25/B25)+Summary!$B$3^2/(2*B25))-(Summary!$B$3*SQRT((C25/B25)*(1-(C25/B25))/B25+Summary!$B$3^2/(4*B25^2))))/(1+Summary!$B$3^2/B25))</f>
        <v>0.410391574981567</v>
      </c>
      <c r="I25" s="10" t="n">
        <f aca="false">IF(B25=0,"",(((C25/B25)+Summary!$B$3^2/(2*B25))+(Summary!$B$3*SQRT((C25/B25)*(1-(C25/B25))/B25+Summary!$B$3^2/(4*B25^2))))/(1+Summary!$B$3^2/B25))</f>
        <v>0.808507276237262</v>
      </c>
      <c r="J25" s="10" t="n">
        <f aca="false">IF(B25=0,"",(C25+D25)/B25)</f>
        <v>0.68421052631579</v>
      </c>
      <c r="K25" s="10" t="n">
        <f aca="false">IF(B25=0,"",E25/B25)</f>
        <v>0.210526315789474</v>
      </c>
      <c r="L25" s="9" t="s">
        <v>102</v>
      </c>
    </row>
    <row r="26" customFormat="false" ht="15" hidden="false" customHeight="false" outlineLevel="0" collapsed="false">
      <c r="A26" s="9" t="s">
        <v>103</v>
      </c>
      <c r="B26" s="9" t="n">
        <f aca="false">COUNTIFS('Holdout R1'!$I$5:$I$182,"&lt;&gt;",'Holdout R1'!$B$5:$B$182,"Stock")</f>
        <v>18</v>
      </c>
      <c r="C26" s="9" t="n">
        <f aca="false">COUNTIFS('Holdout R1'!$I$5:$I$182,"Correct",'Holdout R1'!$B$5:$B$182,"Stock")</f>
        <v>11</v>
      </c>
      <c r="D26" s="9" t="n">
        <f aca="false">COUNTIFS('Holdout R1'!$I$5:$I$182,"Safe ask",'Holdout R1'!$B$5:$B$182,"Stock")</f>
        <v>0</v>
      </c>
      <c r="E26" s="9" t="n">
        <f aca="false">COUNTIFS('Holdout R1'!$I$5:$I$182,"Silent wrong",'Holdout R1'!$B$5:$B$182,"Stock")</f>
        <v>2</v>
      </c>
      <c r="F26" s="9" t="n">
        <f aca="false">COUNTIFS('Holdout R1'!$I$5:$I$182,"Missed",'Holdout R1'!$B$5:$B$182,"Stock")</f>
        <v>5</v>
      </c>
      <c r="G26" s="10" t="n">
        <f aca="false">IF(B26=0,"",C26/B26)</f>
        <v>0.611111111111111</v>
      </c>
      <c r="H26" s="10" t="n">
        <f aca="false">IF(B26=0,"",(((C26/B26)+Summary!$B$3^2/(2*B26))-(Summary!$B$3*SQRT((C26/B26)*(1-(C26/B26))/B26+Summary!$B$3^2/(4*B26^2))))/(1+Summary!$B$3^2/B26))</f>
        <v>0.386186685806562</v>
      </c>
      <c r="I26" s="10" t="n">
        <f aca="false">IF(B26=0,"",(((C26/B26)+Summary!$B$3^2/(2*B26))+(Summary!$B$3*SQRT((C26/B26)*(1-(C26/B26))/B26+Summary!$B$3^2/(4*B26^2))))/(1+Summary!$B$3^2/B26))</f>
        <v>0.796950080730688</v>
      </c>
      <c r="J26" s="10" t="n">
        <f aca="false">IF(B26=0,"",(C26+D26)/B26)</f>
        <v>0.611111111111111</v>
      </c>
      <c r="K26" s="10" t="n">
        <f aca="false">IF(B26=0,"",E26/B26)</f>
        <v>0.111111111111111</v>
      </c>
      <c r="L26" s="9" t="s">
        <v>102</v>
      </c>
    </row>
    <row r="27" customFormat="false" ht="15" hidden="false" customHeight="false" outlineLevel="0" collapsed="false">
      <c r="A27" s="9" t="s">
        <v>104</v>
      </c>
      <c r="B27" s="9" t="n">
        <f aca="false">COUNTIFS('Holdout R1'!$I$5:$I$182,"&lt;&gt;",'Holdout R1'!$B$5:$B$182,"Purchase")</f>
        <v>22</v>
      </c>
      <c r="C27" s="9" t="n">
        <f aca="false">COUNTIFS('Holdout R1'!$I$5:$I$182,"Correct",'Holdout R1'!$B$5:$B$182,"Purchase")</f>
        <v>11</v>
      </c>
      <c r="D27" s="9" t="n">
        <f aca="false">COUNTIFS('Holdout R1'!$I$5:$I$182,"Safe ask",'Holdout R1'!$B$5:$B$182,"Purchase")</f>
        <v>1</v>
      </c>
      <c r="E27" s="9" t="n">
        <f aca="false">COUNTIFS('Holdout R1'!$I$5:$I$182,"Silent wrong",'Holdout R1'!$B$5:$B$182,"Purchase")</f>
        <v>5</v>
      </c>
      <c r="F27" s="9" t="n">
        <f aca="false">COUNTIFS('Holdout R1'!$I$5:$I$182,"Missed",'Holdout R1'!$B$5:$B$182,"Purchase")</f>
        <v>5</v>
      </c>
      <c r="G27" s="10" t="n">
        <f aca="false">IF(B27=0,"",C27/B27)</f>
        <v>0.5</v>
      </c>
      <c r="H27" s="10" t="n">
        <f aca="false">IF(B27=0,"",(((C27/B27)+Summary!$B$3^2/(2*B27))-(Summary!$B$3*SQRT((C27/B27)*(1-(C27/B27))/B27+Summary!$B$3^2/(4*B27^2))))/(1+Summary!$B$3^2/B27))</f>
        <v>0.307218046924796</v>
      </c>
      <c r="I27" s="10" t="n">
        <f aca="false">IF(B27=0,"",(((C27/B27)+Summary!$B$3^2/(2*B27))+(Summary!$B$3*SQRT((C27/B27)*(1-(C27/B27))/B27+Summary!$B$3^2/(4*B27^2))))/(1+Summary!$B$3^2/B27))</f>
        <v>0.692781953075204</v>
      </c>
      <c r="J27" s="10" t="n">
        <f aca="false">IF(B27=0,"",(C27+D27)/B27)</f>
        <v>0.545454545454545</v>
      </c>
      <c r="K27" s="10" t="n">
        <f aca="false">IF(B27=0,"",E27/B27)</f>
        <v>0.227272727272727</v>
      </c>
      <c r="L27" s="9" t="s">
        <v>96</v>
      </c>
    </row>
    <row r="28" customFormat="false" ht="15" hidden="false" customHeight="false" outlineLevel="0" collapsed="false">
      <c r="A28" s="9" t="s">
        <v>105</v>
      </c>
      <c r="B28" s="9" t="n">
        <f aca="false">COUNTIFS('Holdout R1'!$I$5:$I$182,"&lt;&gt;",'Holdout R1'!$B$5:$B$182,"Report")</f>
        <v>10</v>
      </c>
      <c r="C28" s="9" t="n">
        <f aca="false">COUNTIFS('Holdout R1'!$I$5:$I$182,"Correct",'Holdout R1'!$B$5:$B$182,"Report")</f>
        <v>7</v>
      </c>
      <c r="D28" s="9" t="n">
        <f aca="false">COUNTIFS('Holdout R1'!$I$5:$I$182,"Safe ask",'Holdout R1'!$B$5:$B$182,"Report")</f>
        <v>0</v>
      </c>
      <c r="E28" s="9" t="n">
        <f aca="false">COUNTIFS('Holdout R1'!$I$5:$I$182,"Silent wrong",'Holdout R1'!$B$5:$B$182,"Report")</f>
        <v>3</v>
      </c>
      <c r="F28" s="9" t="n">
        <f aca="false">COUNTIFS('Holdout R1'!$I$5:$I$182,"Missed",'Holdout R1'!$B$5:$B$182,"Report")</f>
        <v>0</v>
      </c>
      <c r="G28" s="10" t="n">
        <f aca="false">IF(B28=0,"",C28/B28)</f>
        <v>0.7</v>
      </c>
      <c r="H28" s="10" t="n">
        <f aca="false">IF(B28=0,"",(((C28/B28)+Summary!$B$3^2/(2*B28))-(Summary!$B$3*SQRT((C28/B28)*(1-(C28/B28))/B28+Summary!$B$3^2/(4*B28^2))))/(1+Summary!$B$3^2/B28))</f>
        <v>0.396773219979565</v>
      </c>
      <c r="I28" s="10" t="n">
        <f aca="false">IF(B28=0,"",(((C28/B28)+Summary!$B$3^2/(2*B28))+(Summary!$B$3*SQRT((C28/B28)*(1-(C28/B28))/B28+Summary!$B$3^2/(4*B28^2))))/(1+Summary!$B$3^2/B28))</f>
        <v>0.892210712513788</v>
      </c>
      <c r="J28" s="10" t="n">
        <f aca="false">IF(B28=0,"",(C28+D28)/B28)</f>
        <v>0.7</v>
      </c>
      <c r="K28" s="10" t="n">
        <f aca="false">IF(B28=0,"",E28/B28)</f>
        <v>0.3</v>
      </c>
      <c r="L28" s="9" t="s">
        <v>106</v>
      </c>
    </row>
    <row r="29" customFormat="false" ht="15" hidden="false" customHeight="false" outlineLevel="0" collapsed="false">
      <c r="A29" s="9" t="s">
        <v>107</v>
      </c>
      <c r="B29" s="9" t="n">
        <f aca="false">COUNTIFS('Holdout R1'!$I$5:$I$182,"&lt;&gt;",'Holdout R1'!$B$5:$B$182,"Correction")</f>
        <v>10</v>
      </c>
      <c r="C29" s="9" t="n">
        <f aca="false">COUNTIFS('Holdout R1'!$I$5:$I$182,"Correct",'Holdout R1'!$B$5:$B$182,"Correction")</f>
        <v>9</v>
      </c>
      <c r="D29" s="9" t="n">
        <f aca="false">COUNTIFS('Holdout R1'!$I$5:$I$182,"Safe ask",'Holdout R1'!$B$5:$B$182,"Correction")</f>
        <v>0</v>
      </c>
      <c r="E29" s="9" t="n">
        <f aca="false">COUNTIFS('Holdout R1'!$I$5:$I$182,"Silent wrong",'Holdout R1'!$B$5:$B$182,"Correction")</f>
        <v>1</v>
      </c>
      <c r="F29" s="9" t="n">
        <f aca="false">COUNTIFS('Holdout R1'!$I$5:$I$182,"Missed",'Holdout R1'!$B$5:$B$182,"Correction")</f>
        <v>0</v>
      </c>
      <c r="G29" s="10" t="n">
        <f aca="false">IF(B29=0,"",C29/B29)</f>
        <v>0.9</v>
      </c>
      <c r="H29" s="10" t="n">
        <f aca="false">IF(B29=0,"",(((C29/B29)+Summary!$B$3^2/(2*B29))-(Summary!$B$3*SQRT((C29/B29)*(1-(C29/B29))/B29+Summary!$B$3^2/(4*B29^2))))/(1+Summary!$B$3^2/B29))</f>
        <v>0.595843614502428</v>
      </c>
      <c r="I29" s="10" t="n">
        <f aca="false">IF(B29=0,"",(((C29/B29)+Summary!$B$3^2/(2*B29))+(Summary!$B$3*SQRT((C29/B29)*(1-(C29/B29))/B29+Summary!$B$3^2/(4*B29^2))))/(1+Summary!$B$3^2/B29))</f>
        <v>0.982124250484279</v>
      </c>
      <c r="J29" s="10" t="n">
        <f aca="false">IF(B29=0,"",(C29+D29)/B29)</f>
        <v>0.9</v>
      </c>
      <c r="K29" s="10" t="n">
        <f aca="false">IF(B29=0,"",E29/B29)</f>
        <v>0.1</v>
      </c>
      <c r="L29" s="9" t="s">
        <v>110</v>
      </c>
    </row>
    <row r="30" customFormat="false" ht="15" hidden="false" customHeight="false" outlineLevel="0" collapsed="false">
      <c r="A30" s="9" t="s">
        <v>109</v>
      </c>
      <c r="B30" s="9" t="n">
        <f aca="false">COUNTIFS('Holdout R1'!$I$5:$I$182,"&lt;&gt;",'Holdout R1'!$B$5:$B$182,"Router")</f>
        <v>10</v>
      </c>
      <c r="C30" s="9" t="n">
        <f aca="false">COUNTIFS('Holdout R1'!$I$5:$I$182,"Correct",'Holdout R1'!$B$5:$B$182,"Router")</f>
        <v>10</v>
      </c>
      <c r="D30" s="9" t="n">
        <f aca="false">COUNTIFS('Holdout R1'!$I$5:$I$182,"Safe ask",'Holdout R1'!$B$5:$B$182,"Router")</f>
        <v>0</v>
      </c>
      <c r="E30" s="9" t="n">
        <f aca="false">COUNTIFS('Holdout R1'!$I$5:$I$182,"Silent wrong",'Holdout R1'!$B$5:$B$182,"Router")</f>
        <v>0</v>
      </c>
      <c r="F30" s="9" t="n">
        <f aca="false">COUNTIFS('Holdout R1'!$I$5:$I$182,"Missed",'Holdout R1'!$B$5:$B$182,"Router")</f>
        <v>0</v>
      </c>
      <c r="G30" s="10" t="n">
        <f aca="false">IF(B30=0,"",C30/B30)</f>
        <v>1</v>
      </c>
      <c r="H30" s="10" t="n">
        <f aca="false">IF(B30=0,"",(((C30/B30)+Summary!$B$3^2/(2*B30))-(Summary!$B$3*SQRT((C30/B30)*(1-(C30/B30))/B30+Summary!$B$3^2/(4*B30^2))))/(1+Summary!$B$3^2/B30))</f>
        <v>0.722459831233383</v>
      </c>
      <c r="I30" s="10" t="n">
        <f aca="false">IF(B30=0,"",(((C30/B30)+Summary!$B$3^2/(2*B30))+(Summary!$B$3*SQRT((C30/B30)*(1-(C30/B30))/B30+Summary!$B$3^2/(4*B30^2))))/(1+Summary!$B$3^2/B30))</f>
        <v>1</v>
      </c>
      <c r="J30" s="10" t="n">
        <f aca="false">IF(B30=0,"",(C30+D30)/B30)</f>
        <v>1</v>
      </c>
      <c r="K30" s="10" t="n">
        <f aca="false">IF(B30=0,"",E30/B30)</f>
        <v>0</v>
      </c>
      <c r="L30" s="9" t="s">
        <v>116</v>
      </c>
    </row>
    <row r="31" customFormat="false" ht="15" hidden="false" customHeight="false" outlineLevel="0" collapsed="false">
      <c r="A31" s="3" t="s">
        <v>111</v>
      </c>
      <c r="B31" s="9" t="n">
        <f aca="false">COUNTIFS('Holdout R1'!$I$5:$I$182,"&lt;&gt;")</f>
        <v>178</v>
      </c>
      <c r="C31" s="9" t="n">
        <f aca="false">COUNTIFS('Holdout R1'!$I$5:$I$182,"Correct")</f>
        <v>112</v>
      </c>
      <c r="D31" s="9" t="n">
        <f aca="false">COUNTIFS('Holdout R1'!$I$5:$I$182,"Safe ask")</f>
        <v>4</v>
      </c>
      <c r="E31" s="9" t="n">
        <f aca="false">COUNTIFS('Holdout R1'!$I$5:$I$182,"Silent wrong")</f>
        <v>33</v>
      </c>
      <c r="F31" s="9" t="n">
        <f aca="false">COUNTIFS('Holdout R1'!$I$5:$I$182,"Missed")</f>
        <v>29</v>
      </c>
      <c r="G31" s="10" t="n">
        <f aca="false">IF(B31=0,"",C31/B31)</f>
        <v>0.629213483146067</v>
      </c>
      <c r="H31" s="10" t="n">
        <f aca="false">IF(B31=0,"",(((C31/B31)+Summary!$B$3^2/(2*B31))-(Summary!$B$3*SQRT((C31/B31)*(1-(C31/B31))/B31+Summary!$B$3^2/(4*B31^2))))/(1+Summary!$B$3^2/B31))</f>
        <v>0.556225273326869</v>
      </c>
      <c r="I31" s="10" t="n">
        <f aca="false">IF(B31=0,"",(((C31/B31)+Summary!$B$3^2/(2*B31))+(Summary!$B$3*SQRT((C31/B31)*(1-(C31/B31))/B31+Summary!$B$3^2/(4*B31^2))))/(1+Summary!$B$3^2/B31))</f>
        <v>0.696742144469718</v>
      </c>
      <c r="J31" s="10" t="n">
        <f aca="false">IF(B31=0,"",(C31+D31)/B31)</f>
        <v>0.651685393258427</v>
      </c>
      <c r="K31" s="10" t="n">
        <f aca="false">IF(B31=0,"",E31/B31)</f>
        <v>0.185393258426966</v>
      </c>
      <c r="L31" s="9" t="s">
        <v>117</v>
      </c>
    </row>
    <row r="34" customFormat="false" ht="15" hidden="false" customHeight="false" outlineLevel="0" collapsed="false">
      <c r="A34" s="7" t="s">
        <v>118</v>
      </c>
    </row>
    <row r="35" customFormat="false" ht="23.85" hidden="false" customHeight="false" outlineLevel="0" collapsed="false">
      <c r="A35" s="8" t="s">
        <v>91</v>
      </c>
      <c r="B35" s="8" t="s">
        <v>9</v>
      </c>
      <c r="C35" s="8" t="s">
        <v>41</v>
      </c>
      <c r="D35" s="8" t="s">
        <v>42</v>
      </c>
      <c r="E35" s="8" t="s">
        <v>43</v>
      </c>
      <c r="F35" s="8" t="s">
        <v>44</v>
      </c>
      <c r="G35" s="8" t="s">
        <v>10</v>
      </c>
      <c r="H35" s="8" t="s">
        <v>11</v>
      </c>
      <c r="I35" s="8" t="s">
        <v>12</v>
      </c>
      <c r="J35" s="8" t="s">
        <v>13</v>
      </c>
      <c r="K35" s="8" t="s">
        <v>14</v>
      </c>
      <c r="L35" s="8" t="s">
        <v>92</v>
      </c>
    </row>
    <row r="36" customFormat="false" ht="15" hidden="false" customHeight="false" outlineLevel="0" collapsed="false">
      <c r="A36" s="9" t="s">
        <v>119</v>
      </c>
      <c r="B36" s="9" t="n">
        <f aca="false">COUNTIFS('Holdout R2 (final)'!$I$5:$I$170,"&lt;&gt;",'Holdout R2 (final)'!$C$5:$C$170,"Papa-style")</f>
        <v>70</v>
      </c>
      <c r="C36" s="9" t="n">
        <f aca="false">COUNTIFS('Holdout R2 (final)'!$I$5:$I$170,"Correct",'Holdout R2 (final)'!$C$5:$C$170,"Papa-style")</f>
        <v>53</v>
      </c>
      <c r="D36" s="9" t="n">
        <f aca="false">COUNTIFS('Holdout R2 (final)'!$I$5:$I$170,"Safe ask",'Holdout R2 (final)'!$C$5:$C$170,"Papa-style")</f>
        <v>4</v>
      </c>
      <c r="E36" s="9" t="n">
        <f aca="false">COUNTIFS('Holdout R2 (final)'!$I$5:$I$170,"Silent wrong",'Holdout R2 (final)'!$C$5:$C$170,"Papa-style")</f>
        <v>4</v>
      </c>
      <c r="F36" s="9" t="n">
        <f aca="false">COUNTIFS('Holdout R2 (final)'!$I$5:$I$170,"Missed",'Holdout R2 (final)'!$C$5:$C$170,"Papa-style")</f>
        <v>9</v>
      </c>
      <c r="G36" s="10" t="n">
        <f aca="false">IF(B36=0,"",C36/B36)</f>
        <v>0.757142857142857</v>
      </c>
      <c r="H36" s="10" t="n">
        <f aca="false">IF(B36=0,"",(((C36/B36)+Summary!$B$3^2/(2*B36))-(Summary!$B$3*SQRT((C36/B36)*(1-(C36/B36))/B36+Summary!$B$3^2/(4*B36^2))))/(1+Summary!$B$3^2/B36))</f>
        <v>0.6450473904732</v>
      </c>
      <c r="I36" s="10" t="n">
        <f aca="false">IF(B36=0,"",(((C36/B36)+Summary!$B$3^2/(2*B36))+(Summary!$B$3*SQRT((C36/B36)*(1-(C36/B36))/B36+Summary!$B$3^2/(4*B36^2))))/(1+Summary!$B$3^2/B36))</f>
        <v>0.842482673880769</v>
      </c>
      <c r="J36" s="10" t="n">
        <f aca="false">IF(B36=0,"",(C36+D36)/B36)</f>
        <v>0.814285714285714</v>
      </c>
      <c r="K36" s="10" t="n">
        <f aca="false">IF(B36=0,"",E36/B36)</f>
        <v>0.0571428571428571</v>
      </c>
    </row>
    <row r="37" customFormat="false" ht="15" hidden="false" customHeight="false" outlineLevel="0" collapsed="false">
      <c r="A37" s="9" t="s">
        <v>120</v>
      </c>
      <c r="B37" s="9" t="n">
        <f aca="false">COUNTIFS('Holdout R2 (final)'!$I$5:$I$170,"&lt;&gt;",'Holdout R2 (final)'!$C$5:$C$170,"Mixed")</f>
        <v>66</v>
      </c>
      <c r="C37" s="9" t="n">
        <f aca="false">COUNTIFS('Holdout R2 (final)'!$I$5:$I$170,"Correct",'Holdout R2 (final)'!$C$5:$C$170,"Mixed")</f>
        <v>48</v>
      </c>
      <c r="D37" s="9" t="n">
        <f aca="false">COUNTIFS('Holdout R2 (final)'!$I$5:$I$170,"Safe ask",'Holdout R2 (final)'!$C$5:$C$170,"Mixed")</f>
        <v>2</v>
      </c>
      <c r="E37" s="9" t="n">
        <f aca="false">COUNTIFS('Holdout R2 (final)'!$I$5:$I$170,"Silent wrong",'Holdout R2 (final)'!$C$5:$C$170,"Mixed")</f>
        <v>6</v>
      </c>
      <c r="F37" s="9" t="n">
        <f aca="false">COUNTIFS('Holdout R2 (final)'!$I$5:$I$170,"Missed",'Holdout R2 (final)'!$C$5:$C$170,"Mixed")</f>
        <v>10</v>
      </c>
      <c r="G37" s="10" t="n">
        <f aca="false">IF(B37=0,"",C37/B37)</f>
        <v>0.727272727272727</v>
      </c>
      <c r="H37" s="10" t="n">
        <f aca="false">IF(B37=0,"",(((C37/B37)+Summary!$B$3^2/(2*B37))-(Summary!$B$3*SQRT((C37/B37)*(1-(C37/B37))/B37+Summary!$B$3^2/(4*B37^2))))/(1+Summary!$B$3^2/B37))</f>
        <v>0.609575455597332</v>
      </c>
      <c r="I37" s="10" t="n">
        <f aca="false">IF(B37=0,"",(((C37/B37)+Summary!$B$3^2/(2*B37))+(Summary!$B$3*SQRT((C37/B37)*(1-(C37/B37))/B37+Summary!$B$3^2/(4*B37^2))))/(1+Summary!$B$3^2/B37))</f>
        <v>0.819967968379209</v>
      </c>
      <c r="J37" s="10" t="n">
        <f aca="false">IF(B37=0,"",(C37+D37)/B37)</f>
        <v>0.757575757575758</v>
      </c>
      <c r="K37" s="10" t="n">
        <f aca="false">IF(B37=0,"",E37/B37)</f>
        <v>0.0909090909090909</v>
      </c>
    </row>
    <row r="38" customFormat="false" ht="15" hidden="false" customHeight="false" outlineLevel="0" collapsed="false">
      <c r="A38" s="3" t="s">
        <v>121</v>
      </c>
      <c r="B38" s="9" t="n">
        <f aca="false">COUNTIFS('Holdout R2 (final)'!$I$5:$I$170,"&lt;&gt;",'Holdout R2 (final)'!$C$5:$C$170,"&lt;&gt;—")</f>
        <v>136</v>
      </c>
      <c r="C38" s="9" t="n">
        <f aca="false">COUNTIFS('Holdout R2 (final)'!$I$5:$I$170,"Correct",'Holdout R2 (final)'!$C$5:$C$170,"&lt;&gt;—")</f>
        <v>101</v>
      </c>
      <c r="D38" s="9" t="n">
        <f aca="false">COUNTIFS('Holdout R2 (final)'!$I$5:$I$170,"Safe ask",'Holdout R2 (final)'!$C$5:$C$170,"&lt;&gt;—")</f>
        <v>6</v>
      </c>
      <c r="E38" s="9" t="n">
        <f aca="false">COUNTIFS('Holdout R2 (final)'!$I$5:$I$170,"Silent wrong",'Holdout R2 (final)'!$C$5:$C$170,"&lt;&gt;—")</f>
        <v>10</v>
      </c>
      <c r="F38" s="9" t="n">
        <f aca="false">COUNTIFS('Holdout R2 (final)'!$I$5:$I$170,"Missed",'Holdout R2 (final)'!$C$5:$C$170,"&lt;&gt;—")</f>
        <v>19</v>
      </c>
      <c r="G38" s="10" t="n">
        <f aca="false">IF(B38=0,"",C38/B38)</f>
        <v>0.742647058823529</v>
      </c>
      <c r="H38" s="10" t="n">
        <f aca="false">IF(B38=0,"",(((C38/B38)+Summary!$B$3^2/(2*B38))-(Summary!$B$3*SQRT((C38/B38)*(1-(C38/B38))/B38+Summary!$B$3^2/(4*B38^2))))/(1+Summary!$B$3^2/B38))</f>
        <v>0.663216099361732</v>
      </c>
      <c r="I38" s="10" t="n">
        <f aca="false">IF(B38=0,"",(((C38/B38)+Summary!$B$3^2/(2*B38))+(Summary!$B$3*SQRT((C38/B38)*(1-(C38/B38))/B38+Summary!$B$3^2/(4*B38^2))))/(1+Summary!$B$3^2/B38))</f>
        <v>0.808746463995667</v>
      </c>
      <c r="J38" s="10" t="n">
        <f aca="false">IF(B38=0,"",(C38+D38)/B38)</f>
        <v>0.786764705882353</v>
      </c>
      <c r="K38" s="10" t="n">
        <f aca="false">IF(B38=0,"",E38/B38)</f>
        <v>0.0735294117647059</v>
      </c>
    </row>
    <row r="41" customFormat="false" ht="15" hidden="false" customHeight="false" outlineLevel="0" collapsed="false">
      <c r="A41" s="7" t="s">
        <v>122</v>
      </c>
    </row>
    <row r="42" customFormat="false" ht="23.85" hidden="false" customHeight="false" outlineLevel="0" collapsed="false">
      <c r="A42" s="8" t="s">
        <v>91</v>
      </c>
      <c r="B42" s="8" t="s">
        <v>9</v>
      </c>
      <c r="C42" s="8" t="s">
        <v>41</v>
      </c>
      <c r="D42" s="8" t="s">
        <v>42</v>
      </c>
      <c r="E42" s="8" t="s">
        <v>43</v>
      </c>
      <c r="F42" s="8" t="s">
        <v>44</v>
      </c>
      <c r="G42" s="8" t="s">
        <v>10</v>
      </c>
      <c r="H42" s="8" t="s">
        <v>11</v>
      </c>
      <c r="I42" s="8" t="s">
        <v>12</v>
      </c>
      <c r="J42" s="8" t="s">
        <v>13</v>
      </c>
      <c r="K42" s="8" t="s">
        <v>14</v>
      </c>
      <c r="L42" s="8" t="s">
        <v>92</v>
      </c>
    </row>
    <row r="43" customFormat="false" ht="15" hidden="false" customHeight="false" outlineLevel="0" collapsed="false">
      <c r="A43" s="9" t="s">
        <v>119</v>
      </c>
      <c r="B43" s="9" t="n">
        <f aca="false">COUNTIFS('Holdout R1'!$I$5:$I$182,"&lt;&gt;",'Holdout R1'!$C$5:$C$182,"Papa-style")</f>
        <v>75</v>
      </c>
      <c r="C43" s="9" t="n">
        <f aca="false">COUNTIFS('Holdout R1'!$I$5:$I$182,"Correct",'Holdout R1'!$C$5:$C$182,"Papa-style")</f>
        <v>43</v>
      </c>
      <c r="D43" s="9" t="n">
        <f aca="false">COUNTIFS('Holdout R1'!$I$5:$I$182,"Safe ask",'Holdout R1'!$C$5:$C$182,"Papa-style")</f>
        <v>3</v>
      </c>
      <c r="E43" s="9" t="n">
        <f aca="false">COUNTIFS('Holdout R1'!$I$5:$I$182,"Silent wrong",'Holdout R1'!$C$5:$C$182,"Papa-style")</f>
        <v>17</v>
      </c>
      <c r="F43" s="9" t="n">
        <f aca="false">COUNTIFS('Holdout R1'!$I$5:$I$182,"Missed",'Holdout R1'!$C$5:$C$182,"Papa-style")</f>
        <v>12</v>
      </c>
      <c r="G43" s="10" t="n">
        <f aca="false">IF(B43=0,"",C43/B43)</f>
        <v>0.573333333333333</v>
      </c>
      <c r="H43" s="10" t="n">
        <f aca="false">IF(B43=0,"",(((C43/B43)+Summary!$B$3^2/(2*B43))-(Summary!$B$3*SQRT((C43/B43)*(1-(C43/B43))/B43+Summary!$B$3^2/(4*B43^2))))/(1+Summary!$B$3^2/B43))</f>
        <v>0.46052588692688</v>
      </c>
      <c r="I43" s="10" t="n">
        <f aca="false">IF(B43=0,"",(((C43/B43)+Summary!$B$3^2/(2*B43))+(Summary!$B$3*SQRT((C43/B43)*(1-(C43/B43))/B43+Summary!$B$3^2/(4*B43^2))))/(1+Summary!$B$3^2/B43))</f>
        <v>0.678994366340431</v>
      </c>
      <c r="J43" s="10" t="n">
        <f aca="false">IF(B43=0,"",(C43+D43)/B43)</f>
        <v>0.613333333333333</v>
      </c>
      <c r="K43" s="10" t="n">
        <f aca="false">IF(B43=0,"",E43/B43)</f>
        <v>0.226666666666667</v>
      </c>
    </row>
    <row r="44" customFormat="false" ht="15" hidden="false" customHeight="false" outlineLevel="0" collapsed="false">
      <c r="A44" s="9" t="s">
        <v>120</v>
      </c>
      <c r="B44" s="9" t="n">
        <f aca="false">COUNTIFS('Holdout R1'!$I$5:$I$182,"&lt;&gt;",'Holdout R1'!$C$5:$C$182,"Mixed")</f>
        <v>73</v>
      </c>
      <c r="C44" s="9" t="n">
        <f aca="false">COUNTIFS('Holdout R1'!$I$5:$I$182,"Correct",'Holdout R1'!$C$5:$C$182,"Mixed")</f>
        <v>43</v>
      </c>
      <c r="D44" s="9" t="n">
        <f aca="false">COUNTIFS('Holdout R1'!$I$5:$I$182,"Safe ask",'Holdout R1'!$C$5:$C$182,"Mixed")</f>
        <v>1</v>
      </c>
      <c r="E44" s="9" t="n">
        <f aca="false">COUNTIFS('Holdout R1'!$I$5:$I$182,"Silent wrong",'Holdout R1'!$C$5:$C$182,"Mixed")</f>
        <v>12</v>
      </c>
      <c r="F44" s="9" t="n">
        <f aca="false">COUNTIFS('Holdout R1'!$I$5:$I$182,"Missed",'Holdout R1'!$C$5:$C$182,"Mixed")</f>
        <v>17</v>
      </c>
      <c r="G44" s="10" t="n">
        <f aca="false">IF(B44=0,"",C44/B44)</f>
        <v>0.589041095890411</v>
      </c>
      <c r="H44" s="10" t="n">
        <f aca="false">IF(B44=0,"",(((C44/B44)+Summary!$B$3^2/(2*B44))-(Summary!$B$3*SQRT((C44/B44)*(1-(C44/B44))/B44+Summary!$B$3^2/(4*B44^2))))/(1+Summary!$B$3^2/B44))</f>
        <v>0.474490151921983</v>
      </c>
      <c r="I44" s="10" t="n">
        <f aca="false">IF(B44=0,"",(((C44/B44)+Summary!$B$3^2/(2*B44))+(Summary!$B$3*SQRT((C44/B44)*(1-(C44/B44))/B44+Summary!$B$3^2/(4*B44^2))))/(1+Summary!$B$3^2/B44))</f>
        <v>0.69468904268094</v>
      </c>
      <c r="J44" s="10" t="n">
        <f aca="false">IF(B44=0,"",(C44+D44)/B44)</f>
        <v>0.602739726027397</v>
      </c>
      <c r="K44" s="10" t="n">
        <f aca="false">IF(B44=0,"",E44/B44)</f>
        <v>0.164383561643836</v>
      </c>
    </row>
    <row r="45" customFormat="false" ht="15" hidden="false" customHeight="false" outlineLevel="0" collapsed="false">
      <c r="A45" s="3" t="s">
        <v>121</v>
      </c>
      <c r="B45" s="9" t="n">
        <f aca="false">COUNTIFS('Holdout R1'!$I$5:$I$182,"&lt;&gt;",'Holdout R1'!$C$5:$C$182,"&lt;&gt;—")</f>
        <v>148</v>
      </c>
      <c r="C45" s="9" t="n">
        <f aca="false">COUNTIFS('Holdout R1'!$I$5:$I$182,"Correct",'Holdout R1'!$C$5:$C$182,"&lt;&gt;—")</f>
        <v>86</v>
      </c>
      <c r="D45" s="9" t="n">
        <f aca="false">COUNTIFS('Holdout R1'!$I$5:$I$182,"Safe ask",'Holdout R1'!$C$5:$C$182,"&lt;&gt;—")</f>
        <v>4</v>
      </c>
      <c r="E45" s="9" t="n">
        <f aca="false">COUNTIFS('Holdout R1'!$I$5:$I$182,"Silent wrong",'Holdout R1'!$C$5:$C$182,"&lt;&gt;—")</f>
        <v>29</v>
      </c>
      <c r="F45" s="9" t="n">
        <f aca="false">COUNTIFS('Holdout R1'!$I$5:$I$182,"Missed",'Holdout R1'!$C$5:$C$182,"&lt;&gt;—")</f>
        <v>29</v>
      </c>
      <c r="G45" s="10" t="n">
        <f aca="false">IF(B45=0,"",C45/B45)</f>
        <v>0.581081081081081</v>
      </c>
      <c r="H45" s="10" t="n">
        <f aca="false">IF(B45=0,"",(((C45/B45)+Summary!$B$3^2/(2*B45))-(Summary!$B$3*SQRT((C45/B45)*(1-(C45/B45))/B45+Summary!$B$3^2/(4*B45^2))))/(1+Summary!$B$3^2/B45))</f>
        <v>0.500525621812942</v>
      </c>
      <c r="I45" s="10" t="n">
        <f aca="false">IF(B45=0,"",(((C45/B45)+Summary!$B$3^2/(2*B45))+(Summary!$B$3*SQRT((C45/B45)*(1-(C45/B45))/B45+Summary!$B$3^2/(4*B45^2))))/(1+Summary!$B$3^2/B45))</f>
        <v>0.657533829615389</v>
      </c>
      <c r="J45" s="10" t="n">
        <f aca="false">IF(B45=0,"",(C45+D45)/B45)</f>
        <v>0.608108108108108</v>
      </c>
      <c r="K45" s="10" t="n">
        <f aca="false">IF(B45=0,"",E45/B45)</f>
        <v>0.195945945945946</v>
      </c>
    </row>
    <row r="48" customFormat="false" ht="15" hidden="false" customHeight="false" outlineLevel="0" collapsed="false">
      <c r="A48" s="7" t="s">
        <v>123</v>
      </c>
    </row>
    <row r="49" customFormat="false" ht="15" hidden="false" customHeight="false" outlineLevel="0" collapsed="false">
      <c r="A49" s="11" t="s">
        <v>124</v>
      </c>
    </row>
    <row r="50" customFormat="false" ht="15" hidden="false" customHeight="false" outlineLevel="0" collapsed="false">
      <c r="A50" s="11" t="s">
        <v>125</v>
      </c>
    </row>
    <row r="51" customFormat="false" ht="15" hidden="false" customHeight="false" outlineLevel="0" collapsed="false">
      <c r="A51" s="11" t="s">
        <v>126</v>
      </c>
    </row>
    <row r="52" customFormat="false" ht="15" hidden="false" customHeight="false" outlineLevel="0" collapsed="false">
      <c r="A52" s="11" t="s">
        <v>127</v>
      </c>
    </row>
    <row r="53" customFormat="false" ht="15" hidden="false" customHeight="false" outlineLevel="0" collapsed="false">
      <c r="A53" s="11"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2"/>
    <col collapsed="false" customWidth="true" hidden="false" outlineLevel="0" max="4" min="4" style="0" width="7"/>
    <col collapsed="false" customWidth="true" hidden="false" outlineLevel="0" max="5" min="5" style="0" width="40"/>
    <col collapsed="false" customWidth="true" hidden="false" outlineLevel="0" max="6" min="6" style="0" width="10"/>
    <col collapsed="false" customWidth="true" hidden="false" outlineLevel="0" max="7" min="7" style="0" width="44"/>
    <col collapsed="false" customWidth="true" hidden="false" outlineLevel="0" max="8" min="8" style="0" width="52"/>
    <col collapsed="false" customWidth="true" hidden="false" outlineLevel="0" max="9" min="9" style="0" width="12"/>
    <col collapsed="false" customWidth="true" hidden="false" outlineLevel="0" max="10" min="10" style="0" width="44"/>
  </cols>
  <sheetData>
    <row r="1" customFormat="false" ht="17.35" hidden="false" customHeight="false" outlineLevel="0" collapsed="false">
      <c r="A1" s="1" t="s">
        <v>129</v>
      </c>
    </row>
    <row r="2" customFormat="false" ht="15" hidden="false" customHeight="false" outlineLevel="0" collapsed="false">
      <c r="A2" s="2" t="s">
        <v>130</v>
      </c>
    </row>
    <row r="3" customFormat="false" ht="15" hidden="false" customHeight="false" outlineLevel="0" collapsed="false">
      <c r="A3" s="2" t="s">
        <v>131</v>
      </c>
    </row>
    <row r="4" customFormat="false" ht="23.85" hidden="false" customHeight="false" outlineLevel="0" collapsed="false">
      <c r="A4" s="8" t="s">
        <v>132</v>
      </c>
      <c r="B4" s="8" t="s">
        <v>91</v>
      </c>
      <c r="C4" s="8" t="s">
        <v>133</v>
      </c>
      <c r="D4" s="8" t="s">
        <v>134</v>
      </c>
      <c r="E4" s="8" t="s">
        <v>135</v>
      </c>
      <c r="F4" s="8" t="s">
        <v>136</v>
      </c>
      <c r="G4" s="8" t="s">
        <v>137</v>
      </c>
      <c r="H4" s="8" t="s">
        <v>138</v>
      </c>
      <c r="I4" s="8" t="s">
        <v>139</v>
      </c>
      <c r="J4" s="8" t="s">
        <v>140</v>
      </c>
    </row>
    <row r="5" customFormat="false" ht="35.05" hidden="false" customHeight="false" outlineLevel="0" collapsed="false">
      <c r="A5" s="12" t="s">
        <v>141</v>
      </c>
      <c r="B5" s="12" t="s">
        <v>93</v>
      </c>
      <c r="C5" s="12" t="s">
        <v>119</v>
      </c>
      <c r="D5" s="12" t="s">
        <v>142</v>
      </c>
      <c r="E5" s="13" t="s">
        <v>143</v>
      </c>
      <c r="F5" s="13" t="s">
        <v>144</v>
      </c>
      <c r="G5" s="13" t="s">
        <v>145</v>
      </c>
      <c r="H5" s="14" t="s">
        <v>146</v>
      </c>
      <c r="I5" s="14" t="s">
        <v>41</v>
      </c>
      <c r="J5" s="14"/>
    </row>
    <row r="6" customFormat="false" ht="35.05" hidden="false" customHeight="false" outlineLevel="0" collapsed="false">
      <c r="A6" s="12" t="s">
        <v>147</v>
      </c>
      <c r="B6" s="12" t="s">
        <v>93</v>
      </c>
      <c r="C6" s="12" t="s">
        <v>119</v>
      </c>
      <c r="D6" s="12" t="s">
        <v>142</v>
      </c>
      <c r="E6" s="13" t="s">
        <v>148</v>
      </c>
      <c r="F6" s="13" t="s">
        <v>144</v>
      </c>
      <c r="G6" s="13" t="s">
        <v>149</v>
      </c>
      <c r="H6" s="14" t="s">
        <v>150</v>
      </c>
      <c r="I6" s="14" t="s">
        <v>41</v>
      </c>
      <c r="J6" s="14"/>
    </row>
    <row r="7" customFormat="false" ht="23.85" hidden="false" customHeight="false" outlineLevel="0" collapsed="false">
      <c r="A7" s="12" t="s">
        <v>151</v>
      </c>
      <c r="B7" s="12" t="s">
        <v>93</v>
      </c>
      <c r="C7" s="12" t="s">
        <v>119</v>
      </c>
      <c r="D7" s="12" t="s">
        <v>142</v>
      </c>
      <c r="E7" s="13" t="s">
        <v>152</v>
      </c>
      <c r="F7" s="13" t="s">
        <v>144</v>
      </c>
      <c r="G7" s="13" t="s">
        <v>153</v>
      </c>
      <c r="H7" s="14" t="s">
        <v>154</v>
      </c>
      <c r="I7" s="14" t="s">
        <v>44</v>
      </c>
      <c r="J7" s="14" t="s">
        <v>155</v>
      </c>
    </row>
    <row r="8" customFormat="false" ht="23.85" hidden="false" customHeight="false" outlineLevel="0" collapsed="false">
      <c r="A8" s="12" t="s">
        <v>156</v>
      </c>
      <c r="B8" s="12" t="s">
        <v>93</v>
      </c>
      <c r="C8" s="12" t="s">
        <v>119</v>
      </c>
      <c r="D8" s="12" t="s">
        <v>142</v>
      </c>
      <c r="E8" s="13" t="s">
        <v>157</v>
      </c>
      <c r="F8" s="13" t="s">
        <v>144</v>
      </c>
      <c r="G8" s="13" t="s">
        <v>158</v>
      </c>
      <c r="H8" s="14" t="s">
        <v>159</v>
      </c>
      <c r="I8" s="14" t="s">
        <v>41</v>
      </c>
      <c r="J8" s="14"/>
    </row>
    <row r="9" customFormat="false" ht="46.25" hidden="false" customHeight="false" outlineLevel="0" collapsed="false">
      <c r="A9" s="12" t="s">
        <v>160</v>
      </c>
      <c r="B9" s="12" t="s">
        <v>93</v>
      </c>
      <c r="C9" s="12" t="s">
        <v>119</v>
      </c>
      <c r="D9" s="12" t="s">
        <v>142</v>
      </c>
      <c r="E9" s="13" t="s">
        <v>161</v>
      </c>
      <c r="F9" s="13" t="s">
        <v>144</v>
      </c>
      <c r="G9" s="13" t="s">
        <v>162</v>
      </c>
      <c r="H9" s="14" t="s">
        <v>163</v>
      </c>
      <c r="I9" s="14" t="s">
        <v>41</v>
      </c>
      <c r="J9" s="14"/>
    </row>
    <row r="10" customFormat="false" ht="23.85" hidden="false" customHeight="false" outlineLevel="0" collapsed="false">
      <c r="A10" s="12" t="s">
        <v>160</v>
      </c>
      <c r="B10" s="12" t="s">
        <v>93</v>
      </c>
      <c r="C10" s="12" t="s">
        <v>119</v>
      </c>
      <c r="D10" s="12" t="s">
        <v>164</v>
      </c>
      <c r="E10" s="13" t="s">
        <v>161</v>
      </c>
      <c r="F10" s="13" t="s">
        <v>144</v>
      </c>
      <c r="G10" s="13" t="s">
        <v>165</v>
      </c>
      <c r="H10" s="14" t="s">
        <v>166</v>
      </c>
      <c r="I10" s="14" t="s">
        <v>41</v>
      </c>
      <c r="J10" s="14"/>
    </row>
    <row r="11" customFormat="false" ht="23.85" hidden="false" customHeight="false" outlineLevel="0" collapsed="false">
      <c r="A11" s="12" t="s">
        <v>167</v>
      </c>
      <c r="B11" s="12" t="s">
        <v>93</v>
      </c>
      <c r="C11" s="12" t="s">
        <v>119</v>
      </c>
      <c r="D11" s="12" t="s">
        <v>142</v>
      </c>
      <c r="E11" s="13" t="s">
        <v>168</v>
      </c>
      <c r="F11" s="13" t="s">
        <v>144</v>
      </c>
      <c r="G11" s="13" t="s">
        <v>169</v>
      </c>
      <c r="H11" s="14" t="s">
        <v>170</v>
      </c>
      <c r="I11" s="14" t="s">
        <v>41</v>
      </c>
      <c r="J11" s="14"/>
    </row>
    <row r="12" customFormat="false" ht="23.85" hidden="false" customHeight="false" outlineLevel="0" collapsed="false">
      <c r="A12" s="12" t="s">
        <v>171</v>
      </c>
      <c r="B12" s="12" t="s">
        <v>93</v>
      </c>
      <c r="C12" s="12" t="s">
        <v>119</v>
      </c>
      <c r="D12" s="12" t="s">
        <v>142</v>
      </c>
      <c r="E12" s="13" t="s">
        <v>172</v>
      </c>
      <c r="F12" s="13" t="s">
        <v>144</v>
      </c>
      <c r="G12" s="13" t="s">
        <v>173</v>
      </c>
      <c r="H12" s="14" t="s">
        <v>174</v>
      </c>
      <c r="I12" s="14" t="s">
        <v>41</v>
      </c>
      <c r="J12" s="14" t="s">
        <v>155</v>
      </c>
    </row>
    <row r="13" customFormat="false" ht="23.85" hidden="false" customHeight="false" outlineLevel="0" collapsed="false">
      <c r="A13" s="12" t="s">
        <v>171</v>
      </c>
      <c r="B13" s="12" t="s">
        <v>93</v>
      </c>
      <c r="C13" s="12" t="s">
        <v>119</v>
      </c>
      <c r="D13" s="12" t="s">
        <v>164</v>
      </c>
      <c r="E13" s="13" t="s">
        <v>172</v>
      </c>
      <c r="F13" s="13" t="s">
        <v>144</v>
      </c>
      <c r="G13" s="13" t="s">
        <v>175</v>
      </c>
      <c r="H13" s="14" t="s">
        <v>166</v>
      </c>
      <c r="I13" s="14" t="s">
        <v>44</v>
      </c>
      <c r="J13" s="14"/>
    </row>
    <row r="14" customFormat="false" ht="15" hidden="false" customHeight="false" outlineLevel="0" collapsed="false">
      <c r="A14" s="12" t="s">
        <v>176</v>
      </c>
      <c r="B14" s="12" t="s">
        <v>93</v>
      </c>
      <c r="C14" s="12" t="s">
        <v>119</v>
      </c>
      <c r="D14" s="12" t="s">
        <v>142</v>
      </c>
      <c r="E14" s="13" t="s">
        <v>177</v>
      </c>
      <c r="F14" s="13" t="s">
        <v>178</v>
      </c>
      <c r="G14" s="13" t="s">
        <v>154</v>
      </c>
      <c r="H14" s="14" t="s">
        <v>154</v>
      </c>
      <c r="I14" s="14" t="s">
        <v>41</v>
      </c>
      <c r="J14" s="14"/>
    </row>
    <row r="15" customFormat="false" ht="35.05" hidden="false" customHeight="false" outlineLevel="0" collapsed="false">
      <c r="A15" s="12" t="s">
        <v>179</v>
      </c>
      <c r="B15" s="12" t="s">
        <v>93</v>
      </c>
      <c r="C15" s="12" t="s">
        <v>120</v>
      </c>
      <c r="D15" s="12" t="s">
        <v>142</v>
      </c>
      <c r="E15" s="13" t="s">
        <v>180</v>
      </c>
      <c r="F15" s="13" t="s">
        <v>144</v>
      </c>
      <c r="G15" s="13" t="s">
        <v>181</v>
      </c>
      <c r="H15" s="14" t="s">
        <v>182</v>
      </c>
      <c r="I15" s="14" t="s">
        <v>41</v>
      </c>
      <c r="J15" s="14"/>
    </row>
    <row r="16" customFormat="false" ht="23.85" hidden="false" customHeight="false" outlineLevel="0" collapsed="false">
      <c r="A16" s="12" t="s">
        <v>183</v>
      </c>
      <c r="B16" s="12" t="s">
        <v>93</v>
      </c>
      <c r="C16" s="12" t="s">
        <v>120</v>
      </c>
      <c r="D16" s="12" t="s">
        <v>142</v>
      </c>
      <c r="E16" s="13" t="s">
        <v>184</v>
      </c>
      <c r="F16" s="13" t="s">
        <v>144</v>
      </c>
      <c r="G16" s="13" t="s">
        <v>185</v>
      </c>
      <c r="H16" s="14" t="s">
        <v>186</v>
      </c>
      <c r="I16" s="14" t="s">
        <v>41</v>
      </c>
      <c r="J16" s="14"/>
    </row>
    <row r="17" customFormat="false" ht="35.05" hidden="false" customHeight="false" outlineLevel="0" collapsed="false">
      <c r="A17" s="12" t="s">
        <v>187</v>
      </c>
      <c r="B17" s="12" t="s">
        <v>93</v>
      </c>
      <c r="C17" s="12" t="s">
        <v>120</v>
      </c>
      <c r="D17" s="12" t="s">
        <v>142</v>
      </c>
      <c r="E17" s="13" t="s">
        <v>188</v>
      </c>
      <c r="F17" s="13" t="s">
        <v>144</v>
      </c>
      <c r="G17" s="13" t="s">
        <v>189</v>
      </c>
      <c r="H17" s="14" t="s">
        <v>190</v>
      </c>
      <c r="I17" s="14" t="s">
        <v>41</v>
      </c>
      <c r="J17" s="14"/>
    </row>
    <row r="18" customFormat="false" ht="35.05" hidden="false" customHeight="false" outlineLevel="0" collapsed="false">
      <c r="A18" s="12" t="s">
        <v>191</v>
      </c>
      <c r="B18" s="12" t="s">
        <v>93</v>
      </c>
      <c r="C18" s="12" t="s">
        <v>120</v>
      </c>
      <c r="D18" s="12" t="s">
        <v>142</v>
      </c>
      <c r="E18" s="13" t="s">
        <v>192</v>
      </c>
      <c r="F18" s="13" t="s">
        <v>144</v>
      </c>
      <c r="G18" s="13" t="s">
        <v>193</v>
      </c>
      <c r="H18" s="14" t="s">
        <v>194</v>
      </c>
      <c r="I18" s="14" t="s">
        <v>41</v>
      </c>
      <c r="J18" s="14"/>
    </row>
    <row r="19" customFormat="false" ht="35.05" hidden="false" customHeight="false" outlineLevel="0" collapsed="false">
      <c r="A19" s="12" t="s">
        <v>195</v>
      </c>
      <c r="B19" s="12" t="s">
        <v>93</v>
      </c>
      <c r="C19" s="12" t="s">
        <v>120</v>
      </c>
      <c r="D19" s="12" t="s">
        <v>142</v>
      </c>
      <c r="E19" s="13" t="s">
        <v>196</v>
      </c>
      <c r="F19" s="13" t="s">
        <v>144</v>
      </c>
      <c r="G19" s="13" t="s">
        <v>197</v>
      </c>
      <c r="H19" s="14" t="s">
        <v>198</v>
      </c>
      <c r="I19" s="14" t="s">
        <v>41</v>
      </c>
      <c r="J19" s="14"/>
    </row>
    <row r="20" customFormat="false" ht="46.25" hidden="false" customHeight="false" outlineLevel="0" collapsed="false">
      <c r="A20" s="12" t="s">
        <v>199</v>
      </c>
      <c r="B20" s="12" t="s">
        <v>93</v>
      </c>
      <c r="C20" s="12" t="s">
        <v>120</v>
      </c>
      <c r="D20" s="12" t="s">
        <v>142</v>
      </c>
      <c r="E20" s="13" t="s">
        <v>200</v>
      </c>
      <c r="F20" s="13" t="s">
        <v>144</v>
      </c>
      <c r="G20" s="13" t="s">
        <v>201</v>
      </c>
      <c r="H20" s="14" t="s">
        <v>202</v>
      </c>
      <c r="I20" s="14" t="s">
        <v>41</v>
      </c>
      <c r="J20" s="14"/>
    </row>
    <row r="21" customFormat="false" ht="23.85" hidden="false" customHeight="false" outlineLevel="0" collapsed="false">
      <c r="A21" s="12" t="s">
        <v>199</v>
      </c>
      <c r="B21" s="12" t="s">
        <v>93</v>
      </c>
      <c r="C21" s="12" t="s">
        <v>120</v>
      </c>
      <c r="D21" s="12" t="s">
        <v>164</v>
      </c>
      <c r="E21" s="13" t="s">
        <v>200</v>
      </c>
      <c r="F21" s="13" t="s">
        <v>144</v>
      </c>
      <c r="G21" s="13" t="s">
        <v>203</v>
      </c>
      <c r="H21" s="14" t="s">
        <v>166</v>
      </c>
      <c r="I21" s="14" t="s">
        <v>41</v>
      </c>
      <c r="J21" s="14"/>
    </row>
    <row r="22" customFormat="false" ht="35.05" hidden="false" customHeight="false" outlineLevel="0" collapsed="false">
      <c r="A22" s="12" t="s">
        <v>204</v>
      </c>
      <c r="B22" s="12" t="s">
        <v>93</v>
      </c>
      <c r="C22" s="12" t="s">
        <v>120</v>
      </c>
      <c r="D22" s="12" t="s">
        <v>142</v>
      </c>
      <c r="E22" s="13" t="s">
        <v>205</v>
      </c>
      <c r="F22" s="13" t="s">
        <v>206</v>
      </c>
      <c r="G22" s="13" t="s">
        <v>207</v>
      </c>
      <c r="H22" s="14" t="s">
        <v>208</v>
      </c>
      <c r="I22" s="14" t="s">
        <v>41</v>
      </c>
      <c r="J22" s="14" t="s">
        <v>209</v>
      </c>
    </row>
    <row r="23" customFormat="false" ht="35.05" hidden="false" customHeight="false" outlineLevel="0" collapsed="false">
      <c r="A23" s="12" t="s">
        <v>210</v>
      </c>
      <c r="B23" s="12" t="s">
        <v>95</v>
      </c>
      <c r="C23" s="12" t="s">
        <v>119</v>
      </c>
      <c r="D23" s="12" t="s">
        <v>142</v>
      </c>
      <c r="E23" s="13" t="s">
        <v>211</v>
      </c>
      <c r="F23" s="13" t="s">
        <v>144</v>
      </c>
      <c r="G23" s="13" t="s">
        <v>212</v>
      </c>
      <c r="H23" s="14" t="s">
        <v>213</v>
      </c>
      <c r="I23" s="14" t="s">
        <v>42</v>
      </c>
      <c r="J23" s="14" t="s">
        <v>214</v>
      </c>
    </row>
    <row r="24" customFormat="false" ht="23.85" hidden="false" customHeight="false" outlineLevel="0" collapsed="false">
      <c r="A24" s="12" t="s">
        <v>215</v>
      </c>
      <c r="B24" s="12" t="s">
        <v>95</v>
      </c>
      <c r="C24" s="12" t="s">
        <v>119</v>
      </c>
      <c r="D24" s="12" t="s">
        <v>142</v>
      </c>
      <c r="E24" s="13" t="s">
        <v>216</v>
      </c>
      <c r="F24" s="13" t="s">
        <v>144</v>
      </c>
      <c r="G24" s="13" t="s">
        <v>217</v>
      </c>
      <c r="H24" s="14" t="s">
        <v>218</v>
      </c>
      <c r="I24" s="14" t="s">
        <v>41</v>
      </c>
      <c r="J24" s="14"/>
    </row>
    <row r="25" customFormat="false" ht="46.25" hidden="false" customHeight="false" outlineLevel="0" collapsed="false">
      <c r="A25" s="12" t="s">
        <v>219</v>
      </c>
      <c r="B25" s="12" t="s">
        <v>95</v>
      </c>
      <c r="C25" s="12" t="s">
        <v>119</v>
      </c>
      <c r="D25" s="12" t="s">
        <v>142</v>
      </c>
      <c r="E25" s="13" t="s">
        <v>220</v>
      </c>
      <c r="F25" s="13" t="s">
        <v>144</v>
      </c>
      <c r="G25" s="13" t="s">
        <v>221</v>
      </c>
      <c r="H25" s="14" t="s">
        <v>222</v>
      </c>
      <c r="I25" s="14" t="s">
        <v>41</v>
      </c>
      <c r="J25" s="14"/>
    </row>
    <row r="26" customFormat="false" ht="23.85" hidden="false" customHeight="false" outlineLevel="0" collapsed="false">
      <c r="A26" s="12" t="s">
        <v>223</v>
      </c>
      <c r="B26" s="12" t="s">
        <v>95</v>
      </c>
      <c r="C26" s="12" t="s">
        <v>119</v>
      </c>
      <c r="D26" s="12" t="s">
        <v>142</v>
      </c>
      <c r="E26" s="13" t="s">
        <v>224</v>
      </c>
      <c r="F26" s="13" t="s">
        <v>144</v>
      </c>
      <c r="G26" s="13" t="s">
        <v>225</v>
      </c>
      <c r="H26" s="14" t="s">
        <v>226</v>
      </c>
      <c r="I26" s="14" t="s">
        <v>44</v>
      </c>
      <c r="J26" s="14" t="s">
        <v>227</v>
      </c>
    </row>
    <row r="27" customFormat="false" ht="68.65" hidden="false" customHeight="false" outlineLevel="0" collapsed="false">
      <c r="A27" s="12" t="s">
        <v>228</v>
      </c>
      <c r="B27" s="12" t="s">
        <v>95</v>
      </c>
      <c r="C27" s="12" t="s">
        <v>119</v>
      </c>
      <c r="D27" s="12" t="s">
        <v>142</v>
      </c>
      <c r="E27" s="13" t="s">
        <v>229</v>
      </c>
      <c r="F27" s="13" t="s">
        <v>144</v>
      </c>
      <c r="G27" s="13" t="s">
        <v>230</v>
      </c>
      <c r="H27" s="14" t="s">
        <v>231</v>
      </c>
      <c r="I27" s="14" t="s">
        <v>41</v>
      </c>
      <c r="J27" s="14"/>
    </row>
    <row r="28" customFormat="false" ht="23.85" hidden="false" customHeight="false" outlineLevel="0" collapsed="false">
      <c r="A28" s="12" t="s">
        <v>228</v>
      </c>
      <c r="B28" s="12" t="s">
        <v>95</v>
      </c>
      <c r="C28" s="12" t="s">
        <v>119</v>
      </c>
      <c r="D28" s="12" t="s">
        <v>164</v>
      </c>
      <c r="E28" s="13" t="s">
        <v>229</v>
      </c>
      <c r="F28" s="13" t="s">
        <v>144</v>
      </c>
      <c r="G28" s="13" t="s">
        <v>232</v>
      </c>
      <c r="H28" s="14" t="s">
        <v>166</v>
      </c>
      <c r="I28" s="14" t="s">
        <v>41</v>
      </c>
      <c r="J28" s="14"/>
    </row>
    <row r="29" customFormat="false" ht="46.25" hidden="false" customHeight="false" outlineLevel="0" collapsed="false">
      <c r="A29" s="12" t="s">
        <v>233</v>
      </c>
      <c r="B29" s="12" t="s">
        <v>95</v>
      </c>
      <c r="C29" s="12" t="s">
        <v>119</v>
      </c>
      <c r="D29" s="12" t="s">
        <v>142</v>
      </c>
      <c r="E29" s="13" t="s">
        <v>234</v>
      </c>
      <c r="F29" s="13" t="s">
        <v>144</v>
      </c>
      <c r="G29" s="13" t="s">
        <v>235</v>
      </c>
      <c r="H29" s="14" t="s">
        <v>236</v>
      </c>
      <c r="I29" s="14" t="s">
        <v>43</v>
      </c>
      <c r="J29" s="14" t="s">
        <v>237</v>
      </c>
    </row>
    <row r="30" customFormat="false" ht="23.85" hidden="false" customHeight="false" outlineLevel="0" collapsed="false">
      <c r="A30" s="12" t="s">
        <v>238</v>
      </c>
      <c r="B30" s="12" t="s">
        <v>95</v>
      </c>
      <c r="C30" s="12" t="s">
        <v>119</v>
      </c>
      <c r="D30" s="12" t="s">
        <v>142</v>
      </c>
      <c r="E30" s="13" t="s">
        <v>239</v>
      </c>
      <c r="F30" s="13" t="s">
        <v>206</v>
      </c>
      <c r="G30" s="13" t="s">
        <v>240</v>
      </c>
      <c r="H30" s="14" t="s">
        <v>241</v>
      </c>
      <c r="I30" s="14" t="s">
        <v>44</v>
      </c>
      <c r="J30" s="14" t="s">
        <v>242</v>
      </c>
    </row>
    <row r="31" customFormat="false" ht="23.85" hidden="false" customHeight="false" outlineLevel="0" collapsed="false">
      <c r="A31" s="12" t="s">
        <v>243</v>
      </c>
      <c r="B31" s="12" t="s">
        <v>95</v>
      </c>
      <c r="C31" s="12" t="s">
        <v>119</v>
      </c>
      <c r="D31" s="12" t="s">
        <v>142</v>
      </c>
      <c r="E31" s="13" t="s">
        <v>244</v>
      </c>
      <c r="F31" s="13" t="s">
        <v>178</v>
      </c>
      <c r="G31" s="13" t="s">
        <v>154</v>
      </c>
      <c r="H31" s="14" t="s">
        <v>154</v>
      </c>
      <c r="I31" s="14" t="s">
        <v>41</v>
      </c>
      <c r="J31" s="14"/>
    </row>
    <row r="32" customFormat="false" ht="35.05" hidden="false" customHeight="false" outlineLevel="0" collapsed="false">
      <c r="A32" s="12" t="s">
        <v>245</v>
      </c>
      <c r="B32" s="12" t="s">
        <v>95</v>
      </c>
      <c r="C32" s="12" t="s">
        <v>120</v>
      </c>
      <c r="D32" s="12" t="s">
        <v>142</v>
      </c>
      <c r="E32" s="13" t="s">
        <v>246</v>
      </c>
      <c r="F32" s="13" t="s">
        <v>144</v>
      </c>
      <c r="G32" s="13" t="s">
        <v>247</v>
      </c>
      <c r="H32" s="14" t="s">
        <v>248</v>
      </c>
      <c r="I32" s="14" t="s">
        <v>44</v>
      </c>
      <c r="J32" s="14" t="s">
        <v>242</v>
      </c>
    </row>
    <row r="33" customFormat="false" ht="23.85" hidden="false" customHeight="false" outlineLevel="0" collapsed="false">
      <c r="A33" s="12" t="s">
        <v>249</v>
      </c>
      <c r="B33" s="12" t="s">
        <v>95</v>
      </c>
      <c r="C33" s="12" t="s">
        <v>120</v>
      </c>
      <c r="D33" s="12" t="s">
        <v>142</v>
      </c>
      <c r="E33" s="13" t="s">
        <v>250</v>
      </c>
      <c r="F33" s="13" t="s">
        <v>144</v>
      </c>
      <c r="G33" s="13" t="s">
        <v>251</v>
      </c>
      <c r="H33" s="14" t="s">
        <v>252</v>
      </c>
      <c r="I33" s="14" t="s">
        <v>41</v>
      </c>
      <c r="J33" s="14"/>
    </row>
    <row r="34" customFormat="false" ht="57.45" hidden="false" customHeight="false" outlineLevel="0" collapsed="false">
      <c r="A34" s="12" t="s">
        <v>253</v>
      </c>
      <c r="B34" s="12" t="s">
        <v>95</v>
      </c>
      <c r="C34" s="12" t="s">
        <v>120</v>
      </c>
      <c r="D34" s="12" t="s">
        <v>142</v>
      </c>
      <c r="E34" s="13" t="s">
        <v>254</v>
      </c>
      <c r="F34" s="13" t="s">
        <v>144</v>
      </c>
      <c r="G34" s="13" t="s">
        <v>255</v>
      </c>
      <c r="H34" s="14" t="s">
        <v>256</v>
      </c>
      <c r="I34" s="14" t="s">
        <v>41</v>
      </c>
      <c r="J34" s="14"/>
    </row>
    <row r="35" customFormat="false" ht="23.85" hidden="false" customHeight="false" outlineLevel="0" collapsed="false">
      <c r="A35" s="12" t="s">
        <v>253</v>
      </c>
      <c r="B35" s="12" t="s">
        <v>95</v>
      </c>
      <c r="C35" s="12" t="s">
        <v>120</v>
      </c>
      <c r="D35" s="12" t="s">
        <v>164</v>
      </c>
      <c r="E35" s="13" t="s">
        <v>254</v>
      </c>
      <c r="F35" s="13" t="s">
        <v>144</v>
      </c>
      <c r="G35" s="13" t="s">
        <v>257</v>
      </c>
      <c r="H35" s="14" t="s">
        <v>166</v>
      </c>
      <c r="I35" s="14" t="s">
        <v>41</v>
      </c>
      <c r="J35" s="14"/>
    </row>
    <row r="36" customFormat="false" ht="23.85" hidden="false" customHeight="false" outlineLevel="0" collapsed="false">
      <c r="A36" s="12" t="s">
        <v>258</v>
      </c>
      <c r="B36" s="12" t="s">
        <v>95</v>
      </c>
      <c r="C36" s="12" t="s">
        <v>120</v>
      </c>
      <c r="D36" s="12" t="s">
        <v>142</v>
      </c>
      <c r="E36" s="13" t="s">
        <v>259</v>
      </c>
      <c r="F36" s="13" t="s">
        <v>144</v>
      </c>
      <c r="G36" s="13" t="s">
        <v>260</v>
      </c>
      <c r="H36" s="14" t="s">
        <v>261</v>
      </c>
      <c r="I36" s="14" t="s">
        <v>41</v>
      </c>
      <c r="J36" s="14"/>
    </row>
    <row r="37" customFormat="false" ht="35.05" hidden="false" customHeight="false" outlineLevel="0" collapsed="false">
      <c r="A37" s="12" t="s">
        <v>262</v>
      </c>
      <c r="B37" s="12" t="s">
        <v>95</v>
      </c>
      <c r="C37" s="12" t="s">
        <v>120</v>
      </c>
      <c r="D37" s="12" t="s">
        <v>142</v>
      </c>
      <c r="E37" s="13" t="s">
        <v>263</v>
      </c>
      <c r="F37" s="13" t="s">
        <v>144</v>
      </c>
      <c r="G37" s="13" t="s">
        <v>264</v>
      </c>
      <c r="H37" s="14" t="s">
        <v>241</v>
      </c>
      <c r="I37" s="14" t="s">
        <v>44</v>
      </c>
      <c r="J37" s="14" t="s">
        <v>242</v>
      </c>
    </row>
    <row r="38" customFormat="false" ht="46.25" hidden="false" customHeight="false" outlineLevel="0" collapsed="false">
      <c r="A38" s="12" t="s">
        <v>265</v>
      </c>
      <c r="B38" s="12" t="s">
        <v>95</v>
      </c>
      <c r="C38" s="12" t="s">
        <v>120</v>
      </c>
      <c r="D38" s="12" t="s">
        <v>142</v>
      </c>
      <c r="E38" s="13" t="s">
        <v>266</v>
      </c>
      <c r="F38" s="13" t="s">
        <v>144</v>
      </c>
      <c r="G38" s="13" t="s">
        <v>267</v>
      </c>
      <c r="H38" s="14" t="s">
        <v>268</v>
      </c>
      <c r="I38" s="14" t="s">
        <v>43</v>
      </c>
      <c r="J38" s="14" t="s">
        <v>269</v>
      </c>
    </row>
    <row r="39" customFormat="false" ht="57.45" hidden="false" customHeight="false" outlineLevel="0" collapsed="false">
      <c r="A39" s="12" t="s">
        <v>270</v>
      </c>
      <c r="B39" s="12" t="s">
        <v>95</v>
      </c>
      <c r="C39" s="12" t="s">
        <v>120</v>
      </c>
      <c r="D39" s="12" t="s">
        <v>142</v>
      </c>
      <c r="E39" s="13" t="s">
        <v>271</v>
      </c>
      <c r="F39" s="13" t="s">
        <v>144</v>
      </c>
      <c r="G39" s="13" t="s">
        <v>272</v>
      </c>
      <c r="H39" s="14" t="s">
        <v>273</v>
      </c>
      <c r="I39" s="14" t="s">
        <v>41</v>
      </c>
      <c r="J39" s="14"/>
    </row>
    <row r="40" customFormat="false" ht="35.05" hidden="false" customHeight="false" outlineLevel="0" collapsed="false">
      <c r="A40" s="12" t="s">
        <v>270</v>
      </c>
      <c r="B40" s="12" t="s">
        <v>95</v>
      </c>
      <c r="C40" s="12" t="s">
        <v>120</v>
      </c>
      <c r="D40" s="12" t="s">
        <v>164</v>
      </c>
      <c r="E40" s="13" t="s">
        <v>271</v>
      </c>
      <c r="F40" s="13" t="s">
        <v>144</v>
      </c>
      <c r="G40" s="13" t="s">
        <v>274</v>
      </c>
      <c r="H40" s="14" t="s">
        <v>166</v>
      </c>
      <c r="I40" s="14" t="s">
        <v>41</v>
      </c>
      <c r="J40" s="14"/>
    </row>
    <row r="41" customFormat="false" ht="46.25" hidden="false" customHeight="false" outlineLevel="0" collapsed="false">
      <c r="A41" s="12" t="s">
        <v>275</v>
      </c>
      <c r="B41" s="12" t="s">
        <v>97</v>
      </c>
      <c r="C41" s="12" t="s">
        <v>119</v>
      </c>
      <c r="D41" s="12" t="s">
        <v>142</v>
      </c>
      <c r="E41" s="13" t="s">
        <v>276</v>
      </c>
      <c r="F41" s="13" t="s">
        <v>144</v>
      </c>
      <c r="G41" s="13" t="s">
        <v>277</v>
      </c>
      <c r="H41" s="14" t="s">
        <v>278</v>
      </c>
      <c r="I41" s="14" t="s">
        <v>41</v>
      </c>
      <c r="J41" s="14"/>
    </row>
    <row r="42" customFormat="false" ht="23.85" hidden="false" customHeight="false" outlineLevel="0" collapsed="false">
      <c r="A42" s="12" t="s">
        <v>279</v>
      </c>
      <c r="B42" s="12" t="s">
        <v>97</v>
      </c>
      <c r="C42" s="12" t="s">
        <v>119</v>
      </c>
      <c r="D42" s="12" t="s">
        <v>142</v>
      </c>
      <c r="E42" s="13" t="s">
        <v>280</v>
      </c>
      <c r="F42" s="13" t="s">
        <v>144</v>
      </c>
      <c r="G42" s="13" t="s">
        <v>281</v>
      </c>
      <c r="H42" s="14" t="s">
        <v>282</v>
      </c>
      <c r="I42" s="14" t="s">
        <v>41</v>
      </c>
      <c r="J42" s="14"/>
    </row>
    <row r="43" customFormat="false" ht="46.25" hidden="false" customHeight="false" outlineLevel="0" collapsed="false">
      <c r="A43" s="12" t="s">
        <v>283</v>
      </c>
      <c r="B43" s="12" t="s">
        <v>97</v>
      </c>
      <c r="C43" s="12" t="s">
        <v>119</v>
      </c>
      <c r="D43" s="12" t="s">
        <v>142</v>
      </c>
      <c r="E43" s="13" t="s">
        <v>284</v>
      </c>
      <c r="F43" s="13" t="s">
        <v>144</v>
      </c>
      <c r="G43" s="13" t="s">
        <v>285</v>
      </c>
      <c r="H43" s="14" t="s">
        <v>286</v>
      </c>
      <c r="I43" s="14" t="s">
        <v>41</v>
      </c>
      <c r="J43" s="14"/>
    </row>
    <row r="44" customFormat="false" ht="46.25" hidden="false" customHeight="false" outlineLevel="0" collapsed="false">
      <c r="A44" s="12" t="s">
        <v>287</v>
      </c>
      <c r="B44" s="12" t="s">
        <v>97</v>
      </c>
      <c r="C44" s="12" t="s">
        <v>119</v>
      </c>
      <c r="D44" s="12" t="s">
        <v>142</v>
      </c>
      <c r="E44" s="13" t="s">
        <v>288</v>
      </c>
      <c r="F44" s="13" t="s">
        <v>144</v>
      </c>
      <c r="G44" s="13" t="s">
        <v>289</v>
      </c>
      <c r="H44" s="14" t="s">
        <v>290</v>
      </c>
      <c r="I44" s="14" t="s">
        <v>41</v>
      </c>
      <c r="J44" s="14"/>
    </row>
    <row r="45" customFormat="false" ht="35.05" hidden="false" customHeight="false" outlineLevel="0" collapsed="false">
      <c r="A45" s="12" t="s">
        <v>291</v>
      </c>
      <c r="B45" s="12" t="s">
        <v>97</v>
      </c>
      <c r="C45" s="12" t="s">
        <v>119</v>
      </c>
      <c r="D45" s="12" t="s">
        <v>142</v>
      </c>
      <c r="E45" s="13" t="s">
        <v>292</v>
      </c>
      <c r="F45" s="13" t="s">
        <v>144</v>
      </c>
      <c r="G45" s="13" t="s">
        <v>293</v>
      </c>
      <c r="H45" s="14" t="s">
        <v>294</v>
      </c>
      <c r="I45" s="14" t="s">
        <v>41</v>
      </c>
      <c r="J45" s="14"/>
    </row>
    <row r="46" customFormat="false" ht="23.85" hidden="false" customHeight="false" outlineLevel="0" collapsed="false">
      <c r="A46" s="12" t="s">
        <v>295</v>
      </c>
      <c r="B46" s="12" t="s">
        <v>97</v>
      </c>
      <c r="C46" s="12" t="s">
        <v>119</v>
      </c>
      <c r="D46" s="12" t="s">
        <v>142</v>
      </c>
      <c r="E46" s="13" t="s">
        <v>296</v>
      </c>
      <c r="F46" s="13" t="s">
        <v>144</v>
      </c>
      <c r="G46" s="13" t="s">
        <v>297</v>
      </c>
      <c r="H46" s="14" t="s">
        <v>298</v>
      </c>
      <c r="I46" s="14" t="s">
        <v>41</v>
      </c>
      <c r="J46" s="14"/>
    </row>
    <row r="47" customFormat="false" ht="68.65" hidden="false" customHeight="false" outlineLevel="0" collapsed="false">
      <c r="A47" s="12" t="s">
        <v>299</v>
      </c>
      <c r="B47" s="12" t="s">
        <v>97</v>
      </c>
      <c r="C47" s="12" t="s">
        <v>119</v>
      </c>
      <c r="D47" s="12" t="s">
        <v>142</v>
      </c>
      <c r="E47" s="13" t="s">
        <v>300</v>
      </c>
      <c r="F47" s="13" t="s">
        <v>144</v>
      </c>
      <c r="G47" s="13" t="s">
        <v>301</v>
      </c>
      <c r="H47" s="14" t="s">
        <v>302</v>
      </c>
      <c r="I47" s="14" t="s">
        <v>41</v>
      </c>
      <c r="J47" s="14"/>
    </row>
    <row r="48" customFormat="false" ht="23.85" hidden="false" customHeight="false" outlineLevel="0" collapsed="false">
      <c r="A48" s="12" t="s">
        <v>299</v>
      </c>
      <c r="B48" s="12" t="s">
        <v>97</v>
      </c>
      <c r="C48" s="12" t="s">
        <v>119</v>
      </c>
      <c r="D48" s="12" t="s">
        <v>164</v>
      </c>
      <c r="E48" s="13" t="s">
        <v>300</v>
      </c>
      <c r="F48" s="13" t="s">
        <v>144</v>
      </c>
      <c r="G48" s="13" t="s">
        <v>303</v>
      </c>
      <c r="H48" s="14" t="s">
        <v>166</v>
      </c>
      <c r="I48" s="14" t="s">
        <v>41</v>
      </c>
      <c r="J48" s="14"/>
    </row>
    <row r="49" customFormat="false" ht="15" hidden="false" customHeight="false" outlineLevel="0" collapsed="false">
      <c r="A49" s="12" t="s">
        <v>304</v>
      </c>
      <c r="B49" s="12" t="s">
        <v>97</v>
      </c>
      <c r="C49" s="12" t="s">
        <v>119</v>
      </c>
      <c r="D49" s="12" t="s">
        <v>142</v>
      </c>
      <c r="E49" s="13" t="s">
        <v>305</v>
      </c>
      <c r="F49" s="13" t="s">
        <v>178</v>
      </c>
      <c r="G49" s="13" t="s">
        <v>154</v>
      </c>
      <c r="H49" s="14" t="s">
        <v>154</v>
      </c>
      <c r="I49" s="14" t="s">
        <v>41</v>
      </c>
      <c r="J49" s="14"/>
    </row>
    <row r="50" customFormat="false" ht="35.05" hidden="false" customHeight="false" outlineLevel="0" collapsed="false">
      <c r="A50" s="12" t="s">
        <v>306</v>
      </c>
      <c r="B50" s="12" t="s">
        <v>97</v>
      </c>
      <c r="C50" s="12" t="s">
        <v>120</v>
      </c>
      <c r="D50" s="12" t="s">
        <v>142</v>
      </c>
      <c r="E50" s="13" t="s">
        <v>307</v>
      </c>
      <c r="F50" s="13" t="s">
        <v>144</v>
      </c>
      <c r="G50" s="13" t="s">
        <v>308</v>
      </c>
      <c r="H50" s="14" t="s">
        <v>309</v>
      </c>
      <c r="I50" s="14" t="s">
        <v>41</v>
      </c>
      <c r="J50" s="14"/>
    </row>
    <row r="51" customFormat="false" ht="23.85" hidden="false" customHeight="false" outlineLevel="0" collapsed="false">
      <c r="A51" s="12" t="s">
        <v>310</v>
      </c>
      <c r="B51" s="12" t="s">
        <v>97</v>
      </c>
      <c r="C51" s="12" t="s">
        <v>120</v>
      </c>
      <c r="D51" s="12" t="s">
        <v>142</v>
      </c>
      <c r="E51" s="13" t="s">
        <v>311</v>
      </c>
      <c r="F51" s="13" t="s">
        <v>144</v>
      </c>
      <c r="G51" s="13" t="s">
        <v>312</v>
      </c>
      <c r="H51" s="14" t="s">
        <v>313</v>
      </c>
      <c r="I51" s="14" t="s">
        <v>41</v>
      </c>
      <c r="J51" s="14"/>
    </row>
    <row r="52" customFormat="false" ht="46.25" hidden="false" customHeight="false" outlineLevel="0" collapsed="false">
      <c r="A52" s="12" t="s">
        <v>314</v>
      </c>
      <c r="B52" s="12" t="s">
        <v>97</v>
      </c>
      <c r="C52" s="12" t="s">
        <v>120</v>
      </c>
      <c r="D52" s="12" t="s">
        <v>142</v>
      </c>
      <c r="E52" s="13" t="s">
        <v>315</v>
      </c>
      <c r="F52" s="13" t="s">
        <v>144</v>
      </c>
      <c r="G52" s="13" t="s">
        <v>316</v>
      </c>
      <c r="H52" s="14" t="s">
        <v>317</v>
      </c>
      <c r="I52" s="14" t="s">
        <v>41</v>
      </c>
      <c r="J52" s="14"/>
    </row>
    <row r="53" customFormat="false" ht="23.85" hidden="false" customHeight="false" outlineLevel="0" collapsed="false">
      <c r="A53" s="12" t="s">
        <v>318</v>
      </c>
      <c r="B53" s="12" t="s">
        <v>97</v>
      </c>
      <c r="C53" s="12" t="s">
        <v>120</v>
      </c>
      <c r="D53" s="12" t="s">
        <v>142</v>
      </c>
      <c r="E53" s="13" t="s">
        <v>319</v>
      </c>
      <c r="F53" s="13" t="s">
        <v>144</v>
      </c>
      <c r="G53" s="13" t="s">
        <v>320</v>
      </c>
      <c r="H53" s="14" t="s">
        <v>321</v>
      </c>
      <c r="I53" s="14" t="s">
        <v>41</v>
      </c>
      <c r="J53" s="14"/>
    </row>
    <row r="54" customFormat="false" ht="23.85" hidden="false" customHeight="false" outlineLevel="0" collapsed="false">
      <c r="A54" s="12" t="s">
        <v>322</v>
      </c>
      <c r="B54" s="12" t="s">
        <v>97</v>
      </c>
      <c r="C54" s="12" t="s">
        <v>120</v>
      </c>
      <c r="D54" s="12" t="s">
        <v>142</v>
      </c>
      <c r="E54" s="13" t="s">
        <v>323</v>
      </c>
      <c r="F54" s="13" t="s">
        <v>144</v>
      </c>
      <c r="G54" s="13" t="s">
        <v>324</v>
      </c>
      <c r="H54" s="14" t="s">
        <v>325</v>
      </c>
      <c r="I54" s="14" t="s">
        <v>41</v>
      </c>
      <c r="J54" s="14"/>
    </row>
    <row r="55" customFormat="false" ht="46.25" hidden="false" customHeight="false" outlineLevel="0" collapsed="false">
      <c r="A55" s="12" t="s">
        <v>326</v>
      </c>
      <c r="B55" s="12" t="s">
        <v>97</v>
      </c>
      <c r="C55" s="12" t="s">
        <v>120</v>
      </c>
      <c r="D55" s="12" t="s">
        <v>142</v>
      </c>
      <c r="E55" s="13" t="s">
        <v>327</v>
      </c>
      <c r="F55" s="13" t="s">
        <v>144</v>
      </c>
      <c r="G55" s="13" t="s">
        <v>328</v>
      </c>
      <c r="H55" s="14" t="s">
        <v>329</v>
      </c>
      <c r="I55" s="14" t="s">
        <v>41</v>
      </c>
      <c r="J55" s="14"/>
    </row>
    <row r="56" customFormat="false" ht="35.05" hidden="false" customHeight="false" outlineLevel="0" collapsed="false">
      <c r="A56" s="12" t="s">
        <v>330</v>
      </c>
      <c r="B56" s="12" t="s">
        <v>97</v>
      </c>
      <c r="C56" s="12" t="s">
        <v>120</v>
      </c>
      <c r="D56" s="12" t="s">
        <v>142</v>
      </c>
      <c r="E56" s="13" t="s">
        <v>331</v>
      </c>
      <c r="F56" s="13" t="s">
        <v>206</v>
      </c>
      <c r="G56" s="13" t="s">
        <v>332</v>
      </c>
      <c r="H56" s="14" t="s">
        <v>333</v>
      </c>
      <c r="I56" s="14" t="s">
        <v>43</v>
      </c>
      <c r="J56" s="14" t="s">
        <v>334</v>
      </c>
    </row>
    <row r="57" customFormat="false" ht="46.25" hidden="false" customHeight="false" outlineLevel="0" collapsed="false">
      <c r="A57" s="12" t="s">
        <v>335</v>
      </c>
      <c r="B57" s="12" t="s">
        <v>99</v>
      </c>
      <c r="C57" s="12" t="s">
        <v>119</v>
      </c>
      <c r="D57" s="12" t="s">
        <v>142</v>
      </c>
      <c r="E57" s="13" t="s">
        <v>336</v>
      </c>
      <c r="F57" s="13" t="s">
        <v>144</v>
      </c>
      <c r="G57" s="13" t="s">
        <v>337</v>
      </c>
      <c r="H57" s="14" t="s">
        <v>338</v>
      </c>
      <c r="I57" s="14" t="s">
        <v>41</v>
      </c>
      <c r="J57" s="14"/>
    </row>
    <row r="58" customFormat="false" ht="23.85" hidden="false" customHeight="false" outlineLevel="0" collapsed="false">
      <c r="A58" s="12" t="s">
        <v>335</v>
      </c>
      <c r="B58" s="12" t="s">
        <v>99</v>
      </c>
      <c r="C58" s="12" t="s">
        <v>119</v>
      </c>
      <c r="D58" s="12" t="s">
        <v>164</v>
      </c>
      <c r="E58" s="13" t="s">
        <v>336</v>
      </c>
      <c r="F58" s="13" t="s">
        <v>144</v>
      </c>
      <c r="G58" s="13" t="s">
        <v>339</v>
      </c>
      <c r="H58" s="14" t="s">
        <v>166</v>
      </c>
      <c r="I58" s="14" t="s">
        <v>41</v>
      </c>
      <c r="J58" s="14"/>
    </row>
    <row r="59" customFormat="false" ht="35.05" hidden="false" customHeight="false" outlineLevel="0" collapsed="false">
      <c r="A59" s="12" t="s">
        <v>340</v>
      </c>
      <c r="B59" s="12" t="s">
        <v>99</v>
      </c>
      <c r="C59" s="12" t="s">
        <v>119</v>
      </c>
      <c r="D59" s="12" t="s">
        <v>142</v>
      </c>
      <c r="E59" s="13" t="s">
        <v>341</v>
      </c>
      <c r="F59" s="13" t="s">
        <v>144</v>
      </c>
      <c r="G59" s="13" t="s">
        <v>342</v>
      </c>
      <c r="H59" s="14" t="s">
        <v>248</v>
      </c>
      <c r="I59" s="14" t="s">
        <v>44</v>
      </c>
      <c r="J59" s="14" t="s">
        <v>343</v>
      </c>
    </row>
    <row r="60" customFormat="false" ht="15" hidden="false" customHeight="false" outlineLevel="0" collapsed="false">
      <c r="A60" s="12" t="s">
        <v>340</v>
      </c>
      <c r="B60" s="12" t="s">
        <v>99</v>
      </c>
      <c r="C60" s="12" t="s">
        <v>119</v>
      </c>
      <c r="D60" s="12" t="s">
        <v>164</v>
      </c>
      <c r="E60" s="13" t="s">
        <v>341</v>
      </c>
      <c r="F60" s="13" t="s">
        <v>144</v>
      </c>
      <c r="G60" s="13" t="s">
        <v>344</v>
      </c>
      <c r="H60" s="14" t="s">
        <v>166</v>
      </c>
      <c r="I60" s="14" t="s">
        <v>44</v>
      </c>
      <c r="J60" s="14"/>
    </row>
    <row r="61" customFormat="false" ht="57.45" hidden="false" customHeight="false" outlineLevel="0" collapsed="false">
      <c r="A61" s="12" t="s">
        <v>345</v>
      </c>
      <c r="B61" s="12" t="s">
        <v>99</v>
      </c>
      <c r="C61" s="12" t="s">
        <v>119</v>
      </c>
      <c r="D61" s="12" t="s">
        <v>142</v>
      </c>
      <c r="E61" s="13" t="s">
        <v>346</v>
      </c>
      <c r="F61" s="13" t="s">
        <v>144</v>
      </c>
      <c r="G61" s="13" t="s">
        <v>347</v>
      </c>
      <c r="H61" s="14" t="s">
        <v>208</v>
      </c>
      <c r="I61" s="14" t="s">
        <v>42</v>
      </c>
      <c r="J61" s="14" t="s">
        <v>348</v>
      </c>
    </row>
    <row r="62" customFormat="false" ht="15" hidden="false" customHeight="false" outlineLevel="0" collapsed="false">
      <c r="A62" s="12" t="s">
        <v>345</v>
      </c>
      <c r="B62" s="12" t="s">
        <v>99</v>
      </c>
      <c r="C62" s="12" t="s">
        <v>119</v>
      </c>
      <c r="D62" s="12" t="s">
        <v>164</v>
      </c>
      <c r="E62" s="13" t="s">
        <v>346</v>
      </c>
      <c r="F62" s="13" t="s">
        <v>144</v>
      </c>
      <c r="G62" s="13" t="s">
        <v>349</v>
      </c>
      <c r="H62" s="14" t="s">
        <v>166</v>
      </c>
      <c r="I62" s="14" t="s">
        <v>42</v>
      </c>
      <c r="J62" s="14"/>
    </row>
    <row r="63" customFormat="false" ht="46.25" hidden="false" customHeight="false" outlineLevel="0" collapsed="false">
      <c r="A63" s="12" t="s">
        <v>350</v>
      </c>
      <c r="B63" s="12" t="s">
        <v>99</v>
      </c>
      <c r="C63" s="12" t="s">
        <v>119</v>
      </c>
      <c r="D63" s="12" t="s">
        <v>142</v>
      </c>
      <c r="E63" s="13" t="s">
        <v>351</v>
      </c>
      <c r="F63" s="13" t="s">
        <v>144</v>
      </c>
      <c r="G63" s="13" t="s">
        <v>352</v>
      </c>
      <c r="H63" s="14" t="s">
        <v>353</v>
      </c>
      <c r="I63" s="14" t="s">
        <v>41</v>
      </c>
      <c r="J63" s="14"/>
    </row>
    <row r="64" customFormat="false" ht="15" hidden="false" customHeight="false" outlineLevel="0" collapsed="false">
      <c r="A64" s="12" t="s">
        <v>350</v>
      </c>
      <c r="B64" s="12" t="s">
        <v>99</v>
      </c>
      <c r="C64" s="12" t="s">
        <v>119</v>
      </c>
      <c r="D64" s="12" t="s">
        <v>164</v>
      </c>
      <c r="E64" s="13" t="s">
        <v>351</v>
      </c>
      <c r="F64" s="13" t="s">
        <v>144</v>
      </c>
      <c r="G64" s="13" t="s">
        <v>354</v>
      </c>
      <c r="H64" s="14" t="s">
        <v>166</v>
      </c>
      <c r="I64" s="14" t="s">
        <v>41</v>
      </c>
      <c r="J64" s="14"/>
    </row>
    <row r="65" customFormat="false" ht="46.25" hidden="false" customHeight="false" outlineLevel="0" collapsed="false">
      <c r="A65" s="12" t="s">
        <v>355</v>
      </c>
      <c r="B65" s="12" t="s">
        <v>99</v>
      </c>
      <c r="C65" s="12" t="s">
        <v>119</v>
      </c>
      <c r="D65" s="12" t="s">
        <v>142</v>
      </c>
      <c r="E65" s="13" t="s">
        <v>356</v>
      </c>
      <c r="F65" s="13" t="s">
        <v>144</v>
      </c>
      <c r="G65" s="13" t="s">
        <v>357</v>
      </c>
      <c r="H65" s="14" t="s">
        <v>358</v>
      </c>
      <c r="I65" s="14" t="s">
        <v>41</v>
      </c>
      <c r="J65" s="14"/>
    </row>
    <row r="66" customFormat="false" ht="15" hidden="false" customHeight="false" outlineLevel="0" collapsed="false">
      <c r="A66" s="12" t="s">
        <v>355</v>
      </c>
      <c r="B66" s="12" t="s">
        <v>99</v>
      </c>
      <c r="C66" s="12" t="s">
        <v>119</v>
      </c>
      <c r="D66" s="12" t="s">
        <v>164</v>
      </c>
      <c r="E66" s="13" t="s">
        <v>356</v>
      </c>
      <c r="F66" s="13" t="s">
        <v>144</v>
      </c>
      <c r="G66" s="13" t="s">
        <v>359</v>
      </c>
      <c r="H66" s="14" t="s">
        <v>166</v>
      </c>
      <c r="I66" s="14" t="s">
        <v>41</v>
      </c>
      <c r="J66" s="14"/>
    </row>
    <row r="67" customFormat="false" ht="35.05" hidden="false" customHeight="false" outlineLevel="0" collapsed="false">
      <c r="A67" s="12" t="s">
        <v>360</v>
      </c>
      <c r="B67" s="12" t="s">
        <v>99</v>
      </c>
      <c r="C67" s="12" t="s">
        <v>119</v>
      </c>
      <c r="D67" s="12" t="s">
        <v>142</v>
      </c>
      <c r="E67" s="13" t="s">
        <v>361</v>
      </c>
      <c r="F67" s="13" t="s">
        <v>144</v>
      </c>
      <c r="G67" s="13" t="s">
        <v>362</v>
      </c>
      <c r="H67" s="14" t="s">
        <v>363</v>
      </c>
      <c r="I67" s="14" t="s">
        <v>41</v>
      </c>
      <c r="J67" s="14"/>
    </row>
    <row r="68" customFormat="false" ht="15" hidden="false" customHeight="false" outlineLevel="0" collapsed="false">
      <c r="A68" s="12" t="s">
        <v>360</v>
      </c>
      <c r="B68" s="12" t="s">
        <v>99</v>
      </c>
      <c r="C68" s="12" t="s">
        <v>119</v>
      </c>
      <c r="D68" s="12" t="s">
        <v>164</v>
      </c>
      <c r="E68" s="13" t="s">
        <v>361</v>
      </c>
      <c r="F68" s="13" t="s">
        <v>144</v>
      </c>
      <c r="G68" s="13" t="s">
        <v>364</v>
      </c>
      <c r="H68" s="14" t="s">
        <v>166</v>
      </c>
      <c r="I68" s="14" t="s">
        <v>41</v>
      </c>
      <c r="J68" s="14"/>
    </row>
    <row r="69" customFormat="false" ht="23.85" hidden="false" customHeight="false" outlineLevel="0" collapsed="false">
      <c r="A69" s="12" t="s">
        <v>365</v>
      </c>
      <c r="B69" s="12" t="s">
        <v>99</v>
      </c>
      <c r="C69" s="12" t="s">
        <v>119</v>
      </c>
      <c r="D69" s="12" t="s">
        <v>142</v>
      </c>
      <c r="E69" s="13" t="s">
        <v>366</v>
      </c>
      <c r="F69" s="13" t="s">
        <v>206</v>
      </c>
      <c r="G69" s="13" t="s">
        <v>154</v>
      </c>
      <c r="H69" s="14" t="s">
        <v>208</v>
      </c>
      <c r="I69" s="14" t="s">
        <v>41</v>
      </c>
      <c r="J69" s="14" t="s">
        <v>367</v>
      </c>
    </row>
    <row r="70" customFormat="false" ht="23.85" hidden="false" customHeight="false" outlineLevel="0" collapsed="false">
      <c r="A70" s="12" t="s">
        <v>368</v>
      </c>
      <c r="B70" s="12" t="s">
        <v>99</v>
      </c>
      <c r="C70" s="12" t="s">
        <v>119</v>
      </c>
      <c r="D70" s="12" t="s">
        <v>142</v>
      </c>
      <c r="E70" s="13" t="s">
        <v>369</v>
      </c>
      <c r="F70" s="13" t="s">
        <v>178</v>
      </c>
      <c r="G70" s="13" t="s">
        <v>154</v>
      </c>
      <c r="H70" s="14" t="s">
        <v>154</v>
      </c>
      <c r="I70" s="14" t="s">
        <v>41</v>
      </c>
      <c r="J70" s="14"/>
    </row>
    <row r="71" customFormat="false" ht="46.25" hidden="false" customHeight="false" outlineLevel="0" collapsed="false">
      <c r="A71" s="12" t="s">
        <v>370</v>
      </c>
      <c r="B71" s="12" t="s">
        <v>99</v>
      </c>
      <c r="C71" s="12" t="s">
        <v>120</v>
      </c>
      <c r="D71" s="12" t="s">
        <v>142</v>
      </c>
      <c r="E71" s="13" t="s">
        <v>371</v>
      </c>
      <c r="F71" s="13" t="s">
        <v>144</v>
      </c>
      <c r="G71" s="13" t="s">
        <v>372</v>
      </c>
      <c r="H71" s="14" t="s">
        <v>373</v>
      </c>
      <c r="I71" s="14" t="s">
        <v>41</v>
      </c>
      <c r="J71" s="14"/>
    </row>
    <row r="72" customFormat="false" ht="15" hidden="false" customHeight="false" outlineLevel="0" collapsed="false">
      <c r="A72" s="12" t="s">
        <v>370</v>
      </c>
      <c r="B72" s="12" t="s">
        <v>99</v>
      </c>
      <c r="C72" s="12" t="s">
        <v>120</v>
      </c>
      <c r="D72" s="12" t="s">
        <v>164</v>
      </c>
      <c r="E72" s="13" t="s">
        <v>371</v>
      </c>
      <c r="F72" s="13" t="s">
        <v>144</v>
      </c>
      <c r="G72" s="13" t="s">
        <v>374</v>
      </c>
      <c r="H72" s="14" t="s">
        <v>166</v>
      </c>
      <c r="I72" s="14" t="s">
        <v>41</v>
      </c>
      <c r="J72" s="14"/>
    </row>
    <row r="73" customFormat="false" ht="46.25" hidden="false" customHeight="false" outlineLevel="0" collapsed="false">
      <c r="A73" s="12" t="s">
        <v>375</v>
      </c>
      <c r="B73" s="12" t="s">
        <v>99</v>
      </c>
      <c r="C73" s="12" t="s">
        <v>120</v>
      </c>
      <c r="D73" s="12" t="s">
        <v>142</v>
      </c>
      <c r="E73" s="13" t="s">
        <v>376</v>
      </c>
      <c r="F73" s="13" t="s">
        <v>144</v>
      </c>
      <c r="G73" s="13" t="s">
        <v>377</v>
      </c>
      <c r="H73" s="14" t="s">
        <v>378</v>
      </c>
      <c r="I73" s="14" t="s">
        <v>41</v>
      </c>
      <c r="J73" s="14"/>
    </row>
    <row r="74" customFormat="false" ht="15" hidden="false" customHeight="false" outlineLevel="0" collapsed="false">
      <c r="A74" s="12" t="s">
        <v>375</v>
      </c>
      <c r="B74" s="12" t="s">
        <v>99</v>
      </c>
      <c r="C74" s="12" t="s">
        <v>120</v>
      </c>
      <c r="D74" s="12" t="s">
        <v>164</v>
      </c>
      <c r="E74" s="13" t="s">
        <v>376</v>
      </c>
      <c r="F74" s="13" t="s">
        <v>144</v>
      </c>
      <c r="G74" s="13" t="s">
        <v>379</v>
      </c>
      <c r="H74" s="14" t="s">
        <v>166</v>
      </c>
      <c r="I74" s="14" t="s">
        <v>41</v>
      </c>
      <c r="J74" s="14"/>
    </row>
    <row r="75" customFormat="false" ht="46.25" hidden="false" customHeight="false" outlineLevel="0" collapsed="false">
      <c r="A75" s="12" t="s">
        <v>380</v>
      </c>
      <c r="B75" s="12" t="s">
        <v>99</v>
      </c>
      <c r="C75" s="12" t="s">
        <v>120</v>
      </c>
      <c r="D75" s="12" t="s">
        <v>142</v>
      </c>
      <c r="E75" s="13" t="s">
        <v>381</v>
      </c>
      <c r="F75" s="13" t="s">
        <v>144</v>
      </c>
      <c r="G75" s="13" t="s">
        <v>382</v>
      </c>
      <c r="H75" s="14" t="s">
        <v>383</v>
      </c>
      <c r="I75" s="14" t="s">
        <v>44</v>
      </c>
      <c r="J75" s="14" t="s">
        <v>384</v>
      </c>
    </row>
    <row r="76" customFormat="false" ht="15" hidden="false" customHeight="false" outlineLevel="0" collapsed="false">
      <c r="A76" s="12" t="s">
        <v>380</v>
      </c>
      <c r="B76" s="12" t="s">
        <v>99</v>
      </c>
      <c r="C76" s="12" t="s">
        <v>120</v>
      </c>
      <c r="D76" s="12" t="s">
        <v>164</v>
      </c>
      <c r="E76" s="13" t="s">
        <v>381</v>
      </c>
      <c r="F76" s="13" t="s">
        <v>144</v>
      </c>
      <c r="G76" s="13" t="s">
        <v>385</v>
      </c>
      <c r="H76" s="14" t="s">
        <v>166</v>
      </c>
      <c r="I76" s="14" t="s">
        <v>44</v>
      </c>
      <c r="J76" s="14"/>
    </row>
    <row r="77" customFormat="false" ht="15" hidden="false" customHeight="false" outlineLevel="0" collapsed="false">
      <c r="A77" s="12" t="s">
        <v>380</v>
      </c>
      <c r="B77" s="12" t="s">
        <v>99</v>
      </c>
      <c r="C77" s="12" t="s">
        <v>120</v>
      </c>
      <c r="D77" s="12" t="s">
        <v>386</v>
      </c>
      <c r="E77" s="13" t="s">
        <v>381</v>
      </c>
      <c r="F77" s="13" t="s">
        <v>144</v>
      </c>
      <c r="G77" s="13" t="s">
        <v>387</v>
      </c>
      <c r="H77" s="14" t="s">
        <v>166</v>
      </c>
      <c r="I77" s="14" t="s">
        <v>43</v>
      </c>
      <c r="J77" s="14"/>
    </row>
    <row r="78" customFormat="false" ht="35.05" hidden="false" customHeight="false" outlineLevel="0" collapsed="false">
      <c r="A78" s="12" t="s">
        <v>388</v>
      </c>
      <c r="B78" s="12" t="s">
        <v>99</v>
      </c>
      <c r="C78" s="12" t="s">
        <v>120</v>
      </c>
      <c r="D78" s="12" t="s">
        <v>142</v>
      </c>
      <c r="E78" s="13" t="s">
        <v>389</v>
      </c>
      <c r="F78" s="13" t="s">
        <v>144</v>
      </c>
      <c r="G78" s="13" t="s">
        <v>390</v>
      </c>
      <c r="H78" s="14" t="s">
        <v>391</v>
      </c>
      <c r="I78" s="14" t="s">
        <v>41</v>
      </c>
      <c r="J78" s="14"/>
    </row>
    <row r="79" customFormat="false" ht="15" hidden="false" customHeight="false" outlineLevel="0" collapsed="false">
      <c r="A79" s="12" t="s">
        <v>388</v>
      </c>
      <c r="B79" s="12" t="s">
        <v>99</v>
      </c>
      <c r="C79" s="12" t="s">
        <v>120</v>
      </c>
      <c r="D79" s="12" t="s">
        <v>164</v>
      </c>
      <c r="E79" s="13" t="s">
        <v>389</v>
      </c>
      <c r="F79" s="13" t="s">
        <v>144</v>
      </c>
      <c r="G79" s="13" t="s">
        <v>392</v>
      </c>
      <c r="H79" s="14" t="s">
        <v>166</v>
      </c>
      <c r="I79" s="14" t="s">
        <v>41</v>
      </c>
      <c r="J79" s="14"/>
    </row>
    <row r="80" customFormat="false" ht="35.05" hidden="false" customHeight="false" outlineLevel="0" collapsed="false">
      <c r="A80" s="12" t="s">
        <v>393</v>
      </c>
      <c r="B80" s="12" t="s">
        <v>99</v>
      </c>
      <c r="C80" s="12" t="s">
        <v>120</v>
      </c>
      <c r="D80" s="12" t="s">
        <v>142</v>
      </c>
      <c r="E80" s="13" t="s">
        <v>394</v>
      </c>
      <c r="F80" s="13" t="s">
        <v>144</v>
      </c>
      <c r="G80" s="13" t="s">
        <v>395</v>
      </c>
      <c r="H80" s="14" t="s">
        <v>396</v>
      </c>
      <c r="I80" s="14" t="s">
        <v>41</v>
      </c>
      <c r="J80" s="14"/>
    </row>
    <row r="81" customFormat="false" ht="15" hidden="false" customHeight="false" outlineLevel="0" collapsed="false">
      <c r="A81" s="12" t="s">
        <v>393</v>
      </c>
      <c r="B81" s="12" t="s">
        <v>99</v>
      </c>
      <c r="C81" s="12" t="s">
        <v>120</v>
      </c>
      <c r="D81" s="12" t="s">
        <v>164</v>
      </c>
      <c r="E81" s="13" t="s">
        <v>394</v>
      </c>
      <c r="F81" s="13" t="s">
        <v>144</v>
      </c>
      <c r="G81" s="13" t="s">
        <v>397</v>
      </c>
      <c r="H81" s="14" t="s">
        <v>166</v>
      </c>
      <c r="I81" s="14" t="s">
        <v>41</v>
      </c>
      <c r="J81" s="14"/>
    </row>
    <row r="82" customFormat="false" ht="46.25" hidden="false" customHeight="false" outlineLevel="0" collapsed="false">
      <c r="A82" s="12" t="s">
        <v>398</v>
      </c>
      <c r="B82" s="12" t="s">
        <v>99</v>
      </c>
      <c r="C82" s="12" t="s">
        <v>120</v>
      </c>
      <c r="D82" s="12" t="s">
        <v>142</v>
      </c>
      <c r="E82" s="13" t="s">
        <v>399</v>
      </c>
      <c r="F82" s="13" t="s">
        <v>144</v>
      </c>
      <c r="G82" s="13" t="s">
        <v>400</v>
      </c>
      <c r="H82" s="14" t="s">
        <v>401</v>
      </c>
      <c r="I82" s="14" t="s">
        <v>41</v>
      </c>
      <c r="J82" s="14"/>
    </row>
    <row r="83" customFormat="false" ht="15" hidden="false" customHeight="false" outlineLevel="0" collapsed="false">
      <c r="A83" s="12" t="s">
        <v>398</v>
      </c>
      <c r="B83" s="12" t="s">
        <v>99</v>
      </c>
      <c r="C83" s="12" t="s">
        <v>120</v>
      </c>
      <c r="D83" s="12" t="s">
        <v>164</v>
      </c>
      <c r="E83" s="13" t="s">
        <v>399</v>
      </c>
      <c r="F83" s="13" t="s">
        <v>144</v>
      </c>
      <c r="G83" s="13" t="s">
        <v>402</v>
      </c>
      <c r="H83" s="14" t="s">
        <v>166</v>
      </c>
      <c r="I83" s="14" t="s">
        <v>41</v>
      </c>
      <c r="J83" s="14"/>
    </row>
    <row r="84" customFormat="false" ht="79.85" hidden="false" customHeight="false" outlineLevel="0" collapsed="false">
      <c r="A84" s="12" t="s">
        <v>403</v>
      </c>
      <c r="B84" s="12" t="s">
        <v>99</v>
      </c>
      <c r="C84" s="12" t="s">
        <v>120</v>
      </c>
      <c r="D84" s="12" t="s">
        <v>142</v>
      </c>
      <c r="E84" s="13" t="s">
        <v>404</v>
      </c>
      <c r="F84" s="13" t="s">
        <v>144</v>
      </c>
      <c r="G84" s="13" t="s">
        <v>405</v>
      </c>
      <c r="H84" s="14" t="s">
        <v>406</v>
      </c>
      <c r="I84" s="14" t="s">
        <v>41</v>
      </c>
      <c r="J84" s="14"/>
    </row>
    <row r="85" customFormat="false" ht="15" hidden="false" customHeight="false" outlineLevel="0" collapsed="false">
      <c r="A85" s="12" t="s">
        <v>403</v>
      </c>
      <c r="B85" s="12" t="s">
        <v>99</v>
      </c>
      <c r="C85" s="12" t="s">
        <v>120</v>
      </c>
      <c r="D85" s="12" t="s">
        <v>164</v>
      </c>
      <c r="E85" s="13" t="s">
        <v>404</v>
      </c>
      <c r="F85" s="13" t="s">
        <v>144</v>
      </c>
      <c r="G85" s="13" t="s">
        <v>407</v>
      </c>
      <c r="H85" s="14" t="s">
        <v>166</v>
      </c>
      <c r="I85" s="14" t="s">
        <v>41</v>
      </c>
      <c r="J85" s="14"/>
    </row>
    <row r="86" customFormat="false" ht="15" hidden="false" customHeight="false" outlineLevel="0" collapsed="false">
      <c r="A86" s="12" t="s">
        <v>403</v>
      </c>
      <c r="B86" s="12" t="s">
        <v>99</v>
      </c>
      <c r="C86" s="12" t="s">
        <v>120</v>
      </c>
      <c r="D86" s="12" t="s">
        <v>386</v>
      </c>
      <c r="E86" s="13" t="s">
        <v>404</v>
      </c>
      <c r="F86" s="13" t="s">
        <v>144</v>
      </c>
      <c r="G86" s="13" t="s">
        <v>408</v>
      </c>
      <c r="H86" s="14" t="s">
        <v>166</v>
      </c>
      <c r="I86" s="14" t="s">
        <v>41</v>
      </c>
      <c r="J86" s="14"/>
    </row>
    <row r="87" customFormat="false" ht="15" hidden="false" customHeight="false" outlineLevel="0" collapsed="false">
      <c r="A87" s="12" t="s">
        <v>403</v>
      </c>
      <c r="B87" s="12" t="s">
        <v>99</v>
      </c>
      <c r="C87" s="12" t="s">
        <v>120</v>
      </c>
      <c r="D87" s="12" t="s">
        <v>409</v>
      </c>
      <c r="E87" s="13" t="s">
        <v>404</v>
      </c>
      <c r="F87" s="13" t="s">
        <v>144</v>
      </c>
      <c r="G87" s="13" t="s">
        <v>410</v>
      </c>
      <c r="H87" s="14" t="s">
        <v>166</v>
      </c>
      <c r="I87" s="14" t="s">
        <v>41</v>
      </c>
      <c r="J87" s="14"/>
    </row>
    <row r="88" customFormat="false" ht="35.05" hidden="false" customHeight="false" outlineLevel="0" collapsed="false">
      <c r="A88" s="12" t="s">
        <v>411</v>
      </c>
      <c r="B88" s="12" t="s">
        <v>101</v>
      </c>
      <c r="C88" s="12" t="s">
        <v>119</v>
      </c>
      <c r="D88" s="12" t="s">
        <v>142</v>
      </c>
      <c r="E88" s="13" t="s">
        <v>412</v>
      </c>
      <c r="F88" s="13" t="s">
        <v>144</v>
      </c>
      <c r="G88" s="13" t="s">
        <v>413</v>
      </c>
      <c r="H88" s="14" t="s">
        <v>414</v>
      </c>
      <c r="I88" s="14" t="s">
        <v>41</v>
      </c>
      <c r="J88" s="14"/>
    </row>
    <row r="89" customFormat="false" ht="35.05" hidden="false" customHeight="false" outlineLevel="0" collapsed="false">
      <c r="A89" s="12" t="s">
        <v>415</v>
      </c>
      <c r="B89" s="12" t="s">
        <v>101</v>
      </c>
      <c r="C89" s="12" t="s">
        <v>119</v>
      </c>
      <c r="D89" s="12" t="s">
        <v>142</v>
      </c>
      <c r="E89" s="13" t="s">
        <v>416</v>
      </c>
      <c r="F89" s="13" t="s">
        <v>144</v>
      </c>
      <c r="G89" s="13" t="s">
        <v>417</v>
      </c>
      <c r="H89" s="14" t="s">
        <v>418</v>
      </c>
      <c r="I89" s="14" t="s">
        <v>41</v>
      </c>
      <c r="J89" s="14"/>
    </row>
    <row r="90" customFormat="false" ht="35.05" hidden="false" customHeight="false" outlineLevel="0" collapsed="false">
      <c r="A90" s="12" t="s">
        <v>419</v>
      </c>
      <c r="B90" s="12" t="s">
        <v>101</v>
      </c>
      <c r="C90" s="12" t="s">
        <v>119</v>
      </c>
      <c r="D90" s="12" t="s">
        <v>142</v>
      </c>
      <c r="E90" s="13" t="s">
        <v>420</v>
      </c>
      <c r="F90" s="13" t="s">
        <v>144</v>
      </c>
      <c r="G90" s="13" t="s">
        <v>421</v>
      </c>
      <c r="H90" s="14" t="s">
        <v>422</v>
      </c>
      <c r="I90" s="14" t="s">
        <v>41</v>
      </c>
      <c r="J90" s="14"/>
    </row>
    <row r="91" customFormat="false" ht="35.05" hidden="false" customHeight="false" outlineLevel="0" collapsed="false">
      <c r="A91" s="12" t="s">
        <v>423</v>
      </c>
      <c r="B91" s="12" t="s">
        <v>101</v>
      </c>
      <c r="C91" s="12" t="s">
        <v>119</v>
      </c>
      <c r="D91" s="12" t="s">
        <v>142</v>
      </c>
      <c r="E91" s="13" t="s">
        <v>424</v>
      </c>
      <c r="F91" s="13" t="s">
        <v>144</v>
      </c>
      <c r="G91" s="13" t="s">
        <v>425</v>
      </c>
      <c r="H91" s="14" t="s">
        <v>426</v>
      </c>
      <c r="I91" s="14" t="s">
        <v>41</v>
      </c>
      <c r="J91" s="14"/>
    </row>
    <row r="92" customFormat="false" ht="46.25" hidden="false" customHeight="false" outlineLevel="0" collapsed="false">
      <c r="A92" s="12" t="s">
        <v>427</v>
      </c>
      <c r="B92" s="12" t="s">
        <v>101</v>
      </c>
      <c r="C92" s="12" t="s">
        <v>119</v>
      </c>
      <c r="D92" s="12" t="s">
        <v>142</v>
      </c>
      <c r="E92" s="13" t="s">
        <v>428</v>
      </c>
      <c r="F92" s="13" t="s">
        <v>144</v>
      </c>
      <c r="G92" s="13" t="s">
        <v>429</v>
      </c>
      <c r="H92" s="14" t="s">
        <v>430</v>
      </c>
      <c r="I92" s="14" t="s">
        <v>44</v>
      </c>
      <c r="J92" s="14" t="s">
        <v>431</v>
      </c>
    </row>
    <row r="93" customFormat="false" ht="23.85" hidden="false" customHeight="false" outlineLevel="0" collapsed="false">
      <c r="A93" s="12" t="s">
        <v>427</v>
      </c>
      <c r="B93" s="12" t="s">
        <v>101</v>
      </c>
      <c r="C93" s="12" t="s">
        <v>119</v>
      </c>
      <c r="D93" s="12" t="s">
        <v>164</v>
      </c>
      <c r="E93" s="13" t="s">
        <v>428</v>
      </c>
      <c r="F93" s="13" t="s">
        <v>144</v>
      </c>
      <c r="G93" s="13" t="s">
        <v>387</v>
      </c>
      <c r="H93" s="14" t="s">
        <v>166</v>
      </c>
      <c r="I93" s="14" t="s">
        <v>43</v>
      </c>
      <c r="J93" s="14"/>
    </row>
    <row r="94" customFormat="false" ht="35.05" hidden="false" customHeight="false" outlineLevel="0" collapsed="false">
      <c r="A94" s="12" t="s">
        <v>432</v>
      </c>
      <c r="B94" s="12" t="s">
        <v>101</v>
      </c>
      <c r="C94" s="12" t="s">
        <v>119</v>
      </c>
      <c r="D94" s="12" t="s">
        <v>142</v>
      </c>
      <c r="E94" s="13" t="s">
        <v>433</v>
      </c>
      <c r="F94" s="13" t="s">
        <v>144</v>
      </c>
      <c r="G94" s="13" t="s">
        <v>434</v>
      </c>
      <c r="H94" s="14" t="s">
        <v>435</v>
      </c>
      <c r="I94" s="14" t="s">
        <v>41</v>
      </c>
      <c r="J94" s="14"/>
    </row>
    <row r="95" customFormat="false" ht="46.25" hidden="false" customHeight="false" outlineLevel="0" collapsed="false">
      <c r="A95" s="12" t="s">
        <v>436</v>
      </c>
      <c r="B95" s="12" t="s">
        <v>101</v>
      </c>
      <c r="C95" s="12" t="s">
        <v>119</v>
      </c>
      <c r="D95" s="12" t="s">
        <v>142</v>
      </c>
      <c r="E95" s="13" t="s">
        <v>437</v>
      </c>
      <c r="F95" s="13" t="s">
        <v>144</v>
      </c>
      <c r="G95" s="13" t="s">
        <v>438</v>
      </c>
      <c r="H95" s="14" t="s">
        <v>439</v>
      </c>
      <c r="I95" s="14" t="s">
        <v>41</v>
      </c>
      <c r="J95" s="14"/>
    </row>
    <row r="96" customFormat="false" ht="23.85" hidden="false" customHeight="false" outlineLevel="0" collapsed="false">
      <c r="A96" s="12" t="s">
        <v>436</v>
      </c>
      <c r="B96" s="12" t="s">
        <v>101</v>
      </c>
      <c r="C96" s="12" t="s">
        <v>119</v>
      </c>
      <c r="D96" s="12" t="s">
        <v>164</v>
      </c>
      <c r="E96" s="13" t="s">
        <v>437</v>
      </c>
      <c r="F96" s="13" t="s">
        <v>144</v>
      </c>
      <c r="G96" s="13" t="s">
        <v>440</v>
      </c>
      <c r="H96" s="14" t="s">
        <v>166</v>
      </c>
      <c r="I96" s="14" t="s">
        <v>41</v>
      </c>
      <c r="J96" s="14"/>
    </row>
    <row r="97" customFormat="false" ht="35.05" hidden="false" customHeight="false" outlineLevel="0" collapsed="false">
      <c r="A97" s="12" t="s">
        <v>441</v>
      </c>
      <c r="B97" s="12" t="s">
        <v>101</v>
      </c>
      <c r="C97" s="12" t="s">
        <v>119</v>
      </c>
      <c r="D97" s="12" t="s">
        <v>142</v>
      </c>
      <c r="E97" s="13" t="s">
        <v>442</v>
      </c>
      <c r="F97" s="13" t="s">
        <v>178</v>
      </c>
      <c r="G97" s="13" t="s">
        <v>154</v>
      </c>
      <c r="H97" s="14" t="s">
        <v>443</v>
      </c>
      <c r="I97" s="14" t="s">
        <v>43</v>
      </c>
      <c r="J97" s="14" t="s">
        <v>444</v>
      </c>
    </row>
    <row r="98" customFormat="false" ht="35.05" hidden="false" customHeight="false" outlineLevel="0" collapsed="false">
      <c r="A98" s="12" t="s">
        <v>445</v>
      </c>
      <c r="B98" s="12" t="s">
        <v>101</v>
      </c>
      <c r="C98" s="12" t="s">
        <v>120</v>
      </c>
      <c r="D98" s="12" t="s">
        <v>142</v>
      </c>
      <c r="E98" s="13" t="s">
        <v>446</v>
      </c>
      <c r="F98" s="13" t="s">
        <v>144</v>
      </c>
      <c r="G98" s="13" t="s">
        <v>447</v>
      </c>
      <c r="H98" s="14" t="s">
        <v>448</v>
      </c>
      <c r="I98" s="14" t="s">
        <v>41</v>
      </c>
      <c r="J98" s="14"/>
    </row>
    <row r="99" customFormat="false" ht="35.05" hidden="false" customHeight="false" outlineLevel="0" collapsed="false">
      <c r="A99" s="12" t="s">
        <v>449</v>
      </c>
      <c r="B99" s="12" t="s">
        <v>101</v>
      </c>
      <c r="C99" s="12" t="s">
        <v>120</v>
      </c>
      <c r="D99" s="12" t="s">
        <v>142</v>
      </c>
      <c r="E99" s="13" t="s">
        <v>450</v>
      </c>
      <c r="F99" s="13" t="s">
        <v>144</v>
      </c>
      <c r="G99" s="13" t="s">
        <v>451</v>
      </c>
      <c r="H99" s="14" t="s">
        <v>452</v>
      </c>
      <c r="I99" s="14" t="s">
        <v>41</v>
      </c>
      <c r="J99" s="14"/>
    </row>
    <row r="100" customFormat="false" ht="35.05" hidden="false" customHeight="false" outlineLevel="0" collapsed="false">
      <c r="A100" s="12" t="s">
        <v>453</v>
      </c>
      <c r="B100" s="12" t="s">
        <v>101</v>
      </c>
      <c r="C100" s="12" t="s">
        <v>120</v>
      </c>
      <c r="D100" s="12" t="s">
        <v>142</v>
      </c>
      <c r="E100" s="13" t="s">
        <v>454</v>
      </c>
      <c r="F100" s="13" t="s">
        <v>144</v>
      </c>
      <c r="G100" s="13" t="s">
        <v>455</v>
      </c>
      <c r="H100" s="14" t="s">
        <v>208</v>
      </c>
      <c r="I100" s="14" t="s">
        <v>42</v>
      </c>
      <c r="J100" s="14" t="s">
        <v>456</v>
      </c>
    </row>
    <row r="101" customFormat="false" ht="23.85" hidden="false" customHeight="false" outlineLevel="0" collapsed="false">
      <c r="A101" s="12" t="s">
        <v>457</v>
      </c>
      <c r="B101" s="12" t="s">
        <v>101</v>
      </c>
      <c r="C101" s="12" t="s">
        <v>120</v>
      </c>
      <c r="D101" s="12" t="s">
        <v>142</v>
      </c>
      <c r="E101" s="13" t="s">
        <v>458</v>
      </c>
      <c r="F101" s="13" t="s">
        <v>144</v>
      </c>
      <c r="G101" s="13" t="s">
        <v>459</v>
      </c>
      <c r="H101" s="14" t="s">
        <v>460</v>
      </c>
      <c r="I101" s="14" t="s">
        <v>41</v>
      </c>
      <c r="J101" s="14"/>
    </row>
    <row r="102" customFormat="false" ht="23.85" hidden="false" customHeight="false" outlineLevel="0" collapsed="false">
      <c r="A102" s="12" t="s">
        <v>461</v>
      </c>
      <c r="B102" s="12" t="s">
        <v>101</v>
      </c>
      <c r="C102" s="12" t="s">
        <v>120</v>
      </c>
      <c r="D102" s="12" t="s">
        <v>142</v>
      </c>
      <c r="E102" s="13" t="s">
        <v>462</v>
      </c>
      <c r="F102" s="13" t="s">
        <v>144</v>
      </c>
      <c r="G102" s="13" t="s">
        <v>463</v>
      </c>
      <c r="H102" s="14" t="s">
        <v>241</v>
      </c>
      <c r="I102" s="14" t="s">
        <v>44</v>
      </c>
      <c r="J102" s="14" t="s">
        <v>464</v>
      </c>
    </row>
    <row r="103" customFormat="false" ht="35.05" hidden="false" customHeight="false" outlineLevel="0" collapsed="false">
      <c r="A103" s="12" t="s">
        <v>465</v>
      </c>
      <c r="B103" s="12" t="s">
        <v>101</v>
      </c>
      <c r="C103" s="12" t="s">
        <v>120</v>
      </c>
      <c r="D103" s="12" t="s">
        <v>142</v>
      </c>
      <c r="E103" s="13" t="s">
        <v>466</v>
      </c>
      <c r="F103" s="13" t="s">
        <v>144</v>
      </c>
      <c r="G103" s="13" t="s">
        <v>467</v>
      </c>
      <c r="H103" s="14" t="s">
        <v>468</v>
      </c>
      <c r="I103" s="14" t="s">
        <v>41</v>
      </c>
      <c r="J103" s="14"/>
    </row>
    <row r="104" customFormat="false" ht="15" hidden="false" customHeight="false" outlineLevel="0" collapsed="false">
      <c r="A104" s="12" t="s">
        <v>469</v>
      </c>
      <c r="B104" s="12" t="s">
        <v>101</v>
      </c>
      <c r="C104" s="12" t="s">
        <v>120</v>
      </c>
      <c r="D104" s="12" t="s">
        <v>142</v>
      </c>
      <c r="E104" s="13" t="s">
        <v>470</v>
      </c>
      <c r="F104" s="13" t="s">
        <v>206</v>
      </c>
      <c r="G104" s="13" t="s">
        <v>154</v>
      </c>
      <c r="H104" s="14" t="s">
        <v>154</v>
      </c>
      <c r="I104" s="14" t="s">
        <v>44</v>
      </c>
      <c r="J104" s="14" t="s">
        <v>471</v>
      </c>
    </row>
    <row r="105" customFormat="false" ht="46.25" hidden="false" customHeight="false" outlineLevel="0" collapsed="false">
      <c r="A105" s="12" t="s">
        <v>472</v>
      </c>
      <c r="B105" s="12" t="s">
        <v>103</v>
      </c>
      <c r="C105" s="12" t="s">
        <v>119</v>
      </c>
      <c r="D105" s="12" t="s">
        <v>142</v>
      </c>
      <c r="E105" s="13" t="s">
        <v>473</v>
      </c>
      <c r="F105" s="13" t="s">
        <v>144</v>
      </c>
      <c r="G105" s="13" t="s">
        <v>474</v>
      </c>
      <c r="H105" s="14" t="s">
        <v>475</v>
      </c>
      <c r="I105" s="14" t="s">
        <v>41</v>
      </c>
      <c r="J105" s="14"/>
    </row>
    <row r="106" customFormat="false" ht="46.25" hidden="false" customHeight="false" outlineLevel="0" collapsed="false">
      <c r="A106" s="12" t="s">
        <v>476</v>
      </c>
      <c r="B106" s="12" t="s">
        <v>103</v>
      </c>
      <c r="C106" s="12" t="s">
        <v>119</v>
      </c>
      <c r="D106" s="12" t="s">
        <v>142</v>
      </c>
      <c r="E106" s="13" t="s">
        <v>477</v>
      </c>
      <c r="F106" s="13" t="s">
        <v>144</v>
      </c>
      <c r="G106" s="13" t="s">
        <v>478</v>
      </c>
      <c r="H106" s="14" t="s">
        <v>479</v>
      </c>
      <c r="I106" s="14" t="s">
        <v>41</v>
      </c>
      <c r="J106" s="14"/>
    </row>
    <row r="107" customFormat="false" ht="35.05" hidden="false" customHeight="false" outlineLevel="0" collapsed="false">
      <c r="A107" s="12" t="s">
        <v>480</v>
      </c>
      <c r="B107" s="12" t="s">
        <v>103</v>
      </c>
      <c r="C107" s="12" t="s">
        <v>119</v>
      </c>
      <c r="D107" s="12" t="s">
        <v>142</v>
      </c>
      <c r="E107" s="13" t="s">
        <v>481</v>
      </c>
      <c r="F107" s="13" t="s">
        <v>144</v>
      </c>
      <c r="G107" s="13" t="s">
        <v>482</v>
      </c>
      <c r="H107" s="14" t="s">
        <v>483</v>
      </c>
      <c r="I107" s="14" t="s">
        <v>41</v>
      </c>
      <c r="J107" s="14"/>
    </row>
    <row r="108" customFormat="false" ht="35.05" hidden="false" customHeight="false" outlineLevel="0" collapsed="false">
      <c r="A108" s="12" t="s">
        <v>484</v>
      </c>
      <c r="B108" s="12" t="s">
        <v>103</v>
      </c>
      <c r="C108" s="12" t="s">
        <v>119</v>
      </c>
      <c r="D108" s="12" t="s">
        <v>142</v>
      </c>
      <c r="E108" s="13" t="s">
        <v>485</v>
      </c>
      <c r="F108" s="13" t="s">
        <v>144</v>
      </c>
      <c r="G108" s="13" t="s">
        <v>486</v>
      </c>
      <c r="H108" s="14" t="s">
        <v>487</v>
      </c>
      <c r="I108" s="14" t="s">
        <v>41</v>
      </c>
      <c r="J108" s="14"/>
    </row>
    <row r="109" customFormat="false" ht="35.05" hidden="false" customHeight="false" outlineLevel="0" collapsed="false">
      <c r="A109" s="12" t="s">
        <v>488</v>
      </c>
      <c r="B109" s="12" t="s">
        <v>103</v>
      </c>
      <c r="C109" s="12" t="s">
        <v>119</v>
      </c>
      <c r="D109" s="12" t="s">
        <v>142</v>
      </c>
      <c r="E109" s="13" t="s">
        <v>489</v>
      </c>
      <c r="F109" s="13" t="s">
        <v>144</v>
      </c>
      <c r="G109" s="13" t="s">
        <v>490</v>
      </c>
      <c r="H109" s="14" t="s">
        <v>491</v>
      </c>
      <c r="I109" s="14" t="s">
        <v>44</v>
      </c>
      <c r="J109" s="14" t="s">
        <v>492</v>
      </c>
    </row>
    <row r="110" customFormat="false" ht="23.85" hidden="false" customHeight="false" outlineLevel="0" collapsed="false">
      <c r="A110" s="12" t="s">
        <v>488</v>
      </c>
      <c r="B110" s="12" t="s">
        <v>103</v>
      </c>
      <c r="C110" s="12" t="s">
        <v>119</v>
      </c>
      <c r="D110" s="12" t="s">
        <v>164</v>
      </c>
      <c r="E110" s="13" t="s">
        <v>489</v>
      </c>
      <c r="F110" s="13" t="s">
        <v>144</v>
      </c>
      <c r="G110" s="13" t="s">
        <v>387</v>
      </c>
      <c r="H110" s="14" t="s">
        <v>166</v>
      </c>
      <c r="I110" s="14" t="s">
        <v>43</v>
      </c>
      <c r="J110" s="14"/>
    </row>
    <row r="111" customFormat="false" ht="46.25" hidden="false" customHeight="false" outlineLevel="0" collapsed="false">
      <c r="A111" s="12" t="s">
        <v>493</v>
      </c>
      <c r="B111" s="12" t="s">
        <v>103</v>
      </c>
      <c r="C111" s="12" t="s">
        <v>119</v>
      </c>
      <c r="D111" s="12" t="s">
        <v>142</v>
      </c>
      <c r="E111" s="13" t="s">
        <v>494</v>
      </c>
      <c r="F111" s="13" t="s">
        <v>144</v>
      </c>
      <c r="G111" s="13" t="s">
        <v>495</v>
      </c>
      <c r="H111" s="14" t="s">
        <v>496</v>
      </c>
      <c r="I111" s="14" t="s">
        <v>41</v>
      </c>
      <c r="J111" s="14"/>
    </row>
    <row r="112" customFormat="false" ht="35.05" hidden="false" customHeight="false" outlineLevel="0" collapsed="false">
      <c r="A112" s="12" t="s">
        <v>497</v>
      </c>
      <c r="B112" s="12" t="s">
        <v>103</v>
      </c>
      <c r="C112" s="12" t="s">
        <v>119</v>
      </c>
      <c r="D112" s="12" t="s">
        <v>142</v>
      </c>
      <c r="E112" s="13" t="s">
        <v>498</v>
      </c>
      <c r="F112" s="13" t="s">
        <v>144</v>
      </c>
      <c r="G112" s="13" t="s">
        <v>499</v>
      </c>
      <c r="H112" s="14" t="s">
        <v>500</v>
      </c>
      <c r="I112" s="14" t="s">
        <v>44</v>
      </c>
      <c r="J112" s="14" t="s">
        <v>501</v>
      </c>
    </row>
    <row r="113" customFormat="false" ht="23.85" hidden="false" customHeight="false" outlineLevel="0" collapsed="false">
      <c r="A113" s="12" t="s">
        <v>497</v>
      </c>
      <c r="B113" s="12" t="s">
        <v>103</v>
      </c>
      <c r="C113" s="12" t="s">
        <v>119</v>
      </c>
      <c r="D113" s="12" t="s">
        <v>164</v>
      </c>
      <c r="E113" s="13" t="s">
        <v>498</v>
      </c>
      <c r="F113" s="13" t="s">
        <v>144</v>
      </c>
      <c r="G113" s="13" t="s">
        <v>502</v>
      </c>
      <c r="H113" s="14" t="s">
        <v>166</v>
      </c>
      <c r="I113" s="14" t="s">
        <v>41</v>
      </c>
      <c r="J113" s="14"/>
    </row>
    <row r="114" customFormat="false" ht="23.85" hidden="false" customHeight="false" outlineLevel="0" collapsed="false">
      <c r="A114" s="12" t="s">
        <v>503</v>
      </c>
      <c r="B114" s="12" t="s">
        <v>103</v>
      </c>
      <c r="C114" s="12" t="s">
        <v>119</v>
      </c>
      <c r="D114" s="12" t="s">
        <v>142</v>
      </c>
      <c r="E114" s="13" t="s">
        <v>504</v>
      </c>
      <c r="F114" s="13" t="s">
        <v>178</v>
      </c>
      <c r="G114" s="13" t="s">
        <v>154</v>
      </c>
      <c r="H114" s="14" t="s">
        <v>154</v>
      </c>
      <c r="I114" s="14" t="s">
        <v>41</v>
      </c>
      <c r="J114" s="14"/>
    </row>
    <row r="115" customFormat="false" ht="57.45" hidden="false" customHeight="false" outlineLevel="0" collapsed="false">
      <c r="A115" s="12" t="s">
        <v>505</v>
      </c>
      <c r="B115" s="12" t="s">
        <v>103</v>
      </c>
      <c r="C115" s="12" t="s">
        <v>120</v>
      </c>
      <c r="D115" s="12" t="s">
        <v>142</v>
      </c>
      <c r="E115" s="13" t="s">
        <v>506</v>
      </c>
      <c r="F115" s="13" t="s">
        <v>144</v>
      </c>
      <c r="G115" s="13" t="s">
        <v>507</v>
      </c>
      <c r="H115" s="14" t="s">
        <v>508</v>
      </c>
      <c r="I115" s="14" t="s">
        <v>41</v>
      </c>
      <c r="J115" s="14"/>
    </row>
    <row r="116" customFormat="false" ht="46.25" hidden="false" customHeight="false" outlineLevel="0" collapsed="false">
      <c r="A116" s="12" t="s">
        <v>509</v>
      </c>
      <c r="B116" s="12" t="s">
        <v>103</v>
      </c>
      <c r="C116" s="12" t="s">
        <v>120</v>
      </c>
      <c r="D116" s="12" t="s">
        <v>142</v>
      </c>
      <c r="E116" s="13" t="s">
        <v>510</v>
      </c>
      <c r="F116" s="13" t="s">
        <v>144</v>
      </c>
      <c r="G116" s="13" t="s">
        <v>511</v>
      </c>
      <c r="H116" s="14" t="s">
        <v>512</v>
      </c>
      <c r="I116" s="14" t="s">
        <v>41</v>
      </c>
      <c r="J116" s="14"/>
    </row>
    <row r="117" customFormat="false" ht="35.05" hidden="false" customHeight="false" outlineLevel="0" collapsed="false">
      <c r="A117" s="12" t="s">
        <v>513</v>
      </c>
      <c r="B117" s="12" t="s">
        <v>103</v>
      </c>
      <c r="C117" s="12" t="s">
        <v>120</v>
      </c>
      <c r="D117" s="12" t="s">
        <v>142</v>
      </c>
      <c r="E117" s="13" t="s">
        <v>514</v>
      </c>
      <c r="F117" s="13" t="s">
        <v>144</v>
      </c>
      <c r="G117" s="13" t="s">
        <v>515</v>
      </c>
      <c r="H117" s="14" t="s">
        <v>516</v>
      </c>
      <c r="I117" s="14" t="s">
        <v>41</v>
      </c>
      <c r="J117" s="14"/>
    </row>
    <row r="118" customFormat="false" ht="46.25" hidden="false" customHeight="false" outlineLevel="0" collapsed="false">
      <c r="A118" s="12" t="s">
        <v>517</v>
      </c>
      <c r="B118" s="12" t="s">
        <v>103</v>
      </c>
      <c r="C118" s="12" t="s">
        <v>120</v>
      </c>
      <c r="D118" s="12" t="s">
        <v>142</v>
      </c>
      <c r="E118" s="13" t="s">
        <v>518</v>
      </c>
      <c r="F118" s="13" t="s">
        <v>144</v>
      </c>
      <c r="G118" s="13" t="s">
        <v>519</v>
      </c>
      <c r="H118" s="14" t="s">
        <v>520</v>
      </c>
      <c r="I118" s="14" t="s">
        <v>41</v>
      </c>
      <c r="J118" s="14"/>
    </row>
    <row r="119" customFormat="false" ht="35.05" hidden="false" customHeight="false" outlineLevel="0" collapsed="false">
      <c r="A119" s="12" t="s">
        <v>521</v>
      </c>
      <c r="B119" s="12" t="s">
        <v>103</v>
      </c>
      <c r="C119" s="12" t="s">
        <v>120</v>
      </c>
      <c r="D119" s="12" t="s">
        <v>142</v>
      </c>
      <c r="E119" s="13" t="s">
        <v>522</v>
      </c>
      <c r="F119" s="13" t="s">
        <v>144</v>
      </c>
      <c r="G119" s="13" t="s">
        <v>523</v>
      </c>
      <c r="H119" s="14" t="s">
        <v>524</v>
      </c>
      <c r="I119" s="14" t="s">
        <v>41</v>
      </c>
      <c r="J119" s="14"/>
    </row>
    <row r="120" customFormat="false" ht="23.85" hidden="false" customHeight="false" outlineLevel="0" collapsed="false">
      <c r="A120" s="12" t="s">
        <v>525</v>
      </c>
      <c r="B120" s="12" t="s">
        <v>103</v>
      </c>
      <c r="C120" s="12" t="s">
        <v>120</v>
      </c>
      <c r="D120" s="12" t="s">
        <v>142</v>
      </c>
      <c r="E120" s="13" t="s">
        <v>526</v>
      </c>
      <c r="F120" s="13" t="s">
        <v>144</v>
      </c>
      <c r="G120" s="13" t="s">
        <v>527</v>
      </c>
      <c r="H120" s="14" t="s">
        <v>154</v>
      </c>
      <c r="I120" s="14" t="s">
        <v>44</v>
      </c>
      <c r="J120" s="14" t="s">
        <v>528</v>
      </c>
    </row>
    <row r="121" customFormat="false" ht="23.85" hidden="false" customHeight="false" outlineLevel="0" collapsed="false">
      <c r="A121" s="12" t="s">
        <v>529</v>
      </c>
      <c r="B121" s="12" t="s">
        <v>103</v>
      </c>
      <c r="C121" s="12" t="s">
        <v>120</v>
      </c>
      <c r="D121" s="12" t="s">
        <v>142</v>
      </c>
      <c r="E121" s="13" t="s">
        <v>530</v>
      </c>
      <c r="F121" s="13" t="s">
        <v>206</v>
      </c>
      <c r="G121" s="13" t="s">
        <v>154</v>
      </c>
      <c r="H121" s="14" t="s">
        <v>208</v>
      </c>
      <c r="I121" s="14" t="s">
        <v>41</v>
      </c>
      <c r="J121" s="14" t="s">
        <v>531</v>
      </c>
    </row>
    <row r="122" customFormat="false" ht="35.05" hidden="false" customHeight="false" outlineLevel="0" collapsed="false">
      <c r="A122" s="12" t="s">
        <v>532</v>
      </c>
      <c r="B122" s="12" t="s">
        <v>104</v>
      </c>
      <c r="C122" s="12" t="s">
        <v>119</v>
      </c>
      <c r="D122" s="12" t="s">
        <v>142</v>
      </c>
      <c r="E122" s="13" t="s">
        <v>533</v>
      </c>
      <c r="F122" s="13" t="s">
        <v>144</v>
      </c>
      <c r="G122" s="13" t="s">
        <v>534</v>
      </c>
      <c r="H122" s="14" t="s">
        <v>535</v>
      </c>
      <c r="I122" s="14" t="s">
        <v>41</v>
      </c>
      <c r="J122" s="14"/>
    </row>
    <row r="123" customFormat="false" ht="23.85" hidden="false" customHeight="false" outlineLevel="0" collapsed="false">
      <c r="A123" s="12" t="s">
        <v>536</v>
      </c>
      <c r="B123" s="12" t="s">
        <v>104</v>
      </c>
      <c r="C123" s="12" t="s">
        <v>119</v>
      </c>
      <c r="D123" s="12" t="s">
        <v>142</v>
      </c>
      <c r="E123" s="13" t="s">
        <v>537</v>
      </c>
      <c r="F123" s="13" t="s">
        <v>144</v>
      </c>
      <c r="G123" s="13" t="s">
        <v>538</v>
      </c>
      <c r="H123" s="14" t="s">
        <v>539</v>
      </c>
      <c r="I123" s="14" t="s">
        <v>41</v>
      </c>
      <c r="J123" s="14"/>
    </row>
    <row r="124" customFormat="false" ht="23.85" hidden="false" customHeight="false" outlineLevel="0" collapsed="false">
      <c r="A124" s="12" t="s">
        <v>540</v>
      </c>
      <c r="B124" s="12" t="s">
        <v>104</v>
      </c>
      <c r="C124" s="12" t="s">
        <v>119</v>
      </c>
      <c r="D124" s="12" t="s">
        <v>142</v>
      </c>
      <c r="E124" s="13" t="s">
        <v>541</v>
      </c>
      <c r="F124" s="13" t="s">
        <v>144</v>
      </c>
      <c r="G124" s="13" t="s">
        <v>542</v>
      </c>
      <c r="H124" s="14" t="s">
        <v>208</v>
      </c>
      <c r="I124" s="14" t="s">
        <v>42</v>
      </c>
      <c r="J124" s="14" t="s">
        <v>543</v>
      </c>
    </row>
    <row r="125" customFormat="false" ht="23.85" hidden="false" customHeight="false" outlineLevel="0" collapsed="false">
      <c r="A125" s="12" t="s">
        <v>544</v>
      </c>
      <c r="B125" s="12" t="s">
        <v>104</v>
      </c>
      <c r="C125" s="12" t="s">
        <v>119</v>
      </c>
      <c r="D125" s="12" t="s">
        <v>142</v>
      </c>
      <c r="E125" s="13" t="s">
        <v>545</v>
      </c>
      <c r="F125" s="13" t="s">
        <v>144</v>
      </c>
      <c r="G125" s="13" t="s">
        <v>546</v>
      </c>
      <c r="H125" s="14" t="s">
        <v>547</v>
      </c>
      <c r="I125" s="14" t="s">
        <v>41</v>
      </c>
      <c r="J125" s="14"/>
    </row>
    <row r="126" customFormat="false" ht="35.05" hidden="false" customHeight="false" outlineLevel="0" collapsed="false">
      <c r="A126" s="12" t="s">
        <v>548</v>
      </c>
      <c r="B126" s="12" t="s">
        <v>104</v>
      </c>
      <c r="C126" s="12" t="s">
        <v>119</v>
      </c>
      <c r="D126" s="12" t="s">
        <v>142</v>
      </c>
      <c r="E126" s="13" t="s">
        <v>549</v>
      </c>
      <c r="F126" s="13" t="s">
        <v>144</v>
      </c>
      <c r="G126" s="13" t="s">
        <v>550</v>
      </c>
      <c r="H126" s="14" t="s">
        <v>551</v>
      </c>
      <c r="I126" s="14" t="s">
        <v>41</v>
      </c>
      <c r="J126" s="14"/>
    </row>
    <row r="127" customFormat="false" ht="23.85" hidden="false" customHeight="false" outlineLevel="0" collapsed="false">
      <c r="A127" s="12" t="s">
        <v>552</v>
      </c>
      <c r="B127" s="12" t="s">
        <v>104</v>
      </c>
      <c r="C127" s="12" t="s">
        <v>119</v>
      </c>
      <c r="D127" s="12" t="s">
        <v>142</v>
      </c>
      <c r="E127" s="13" t="s">
        <v>553</v>
      </c>
      <c r="F127" s="13" t="s">
        <v>144</v>
      </c>
      <c r="G127" s="13" t="s">
        <v>554</v>
      </c>
      <c r="H127" s="14" t="s">
        <v>555</v>
      </c>
      <c r="I127" s="14" t="s">
        <v>41</v>
      </c>
      <c r="J127" s="14"/>
    </row>
    <row r="128" customFormat="false" ht="23.85" hidden="false" customHeight="false" outlineLevel="0" collapsed="false">
      <c r="A128" s="12" t="s">
        <v>556</v>
      </c>
      <c r="B128" s="12" t="s">
        <v>104</v>
      </c>
      <c r="C128" s="12" t="s">
        <v>119</v>
      </c>
      <c r="D128" s="12" t="s">
        <v>142</v>
      </c>
      <c r="E128" s="13" t="s">
        <v>557</v>
      </c>
      <c r="F128" s="13" t="s">
        <v>206</v>
      </c>
      <c r="G128" s="13" t="s">
        <v>154</v>
      </c>
      <c r="H128" s="14" t="s">
        <v>208</v>
      </c>
      <c r="I128" s="14" t="s">
        <v>41</v>
      </c>
      <c r="J128" s="14" t="s">
        <v>558</v>
      </c>
    </row>
    <row r="129" customFormat="false" ht="23.85" hidden="false" customHeight="false" outlineLevel="0" collapsed="false">
      <c r="A129" s="12" t="s">
        <v>559</v>
      </c>
      <c r="B129" s="12" t="s">
        <v>104</v>
      </c>
      <c r="C129" s="12" t="s">
        <v>119</v>
      </c>
      <c r="D129" s="12" t="s">
        <v>142</v>
      </c>
      <c r="E129" s="13" t="s">
        <v>560</v>
      </c>
      <c r="F129" s="13" t="s">
        <v>178</v>
      </c>
      <c r="G129" s="13" t="s">
        <v>154</v>
      </c>
      <c r="H129" s="14" t="s">
        <v>154</v>
      </c>
      <c r="I129" s="14" t="s">
        <v>41</v>
      </c>
      <c r="J129" s="14"/>
    </row>
    <row r="130" customFormat="false" ht="35.05" hidden="false" customHeight="false" outlineLevel="0" collapsed="false">
      <c r="A130" s="12" t="s">
        <v>561</v>
      </c>
      <c r="B130" s="12" t="s">
        <v>104</v>
      </c>
      <c r="C130" s="12" t="s">
        <v>120</v>
      </c>
      <c r="D130" s="12" t="s">
        <v>142</v>
      </c>
      <c r="E130" s="13" t="s">
        <v>562</v>
      </c>
      <c r="F130" s="13" t="s">
        <v>144</v>
      </c>
      <c r="G130" s="13" t="s">
        <v>550</v>
      </c>
      <c r="H130" s="14" t="s">
        <v>563</v>
      </c>
      <c r="I130" s="14" t="s">
        <v>41</v>
      </c>
      <c r="J130" s="14"/>
    </row>
    <row r="131" customFormat="false" ht="35.05" hidden="false" customHeight="false" outlineLevel="0" collapsed="false">
      <c r="A131" s="12" t="s">
        <v>564</v>
      </c>
      <c r="B131" s="12" t="s">
        <v>104</v>
      </c>
      <c r="C131" s="12" t="s">
        <v>120</v>
      </c>
      <c r="D131" s="12" t="s">
        <v>142</v>
      </c>
      <c r="E131" s="13" t="s">
        <v>565</v>
      </c>
      <c r="F131" s="13" t="s">
        <v>144</v>
      </c>
      <c r="G131" s="13" t="s">
        <v>566</v>
      </c>
      <c r="H131" s="14" t="s">
        <v>567</v>
      </c>
      <c r="I131" s="14" t="s">
        <v>41</v>
      </c>
      <c r="J131" s="14"/>
    </row>
    <row r="132" customFormat="false" ht="35.05" hidden="false" customHeight="false" outlineLevel="0" collapsed="false">
      <c r="A132" s="12" t="s">
        <v>568</v>
      </c>
      <c r="B132" s="12" t="s">
        <v>104</v>
      </c>
      <c r="C132" s="12" t="s">
        <v>120</v>
      </c>
      <c r="D132" s="12" t="s">
        <v>142</v>
      </c>
      <c r="E132" s="13" t="s">
        <v>569</v>
      </c>
      <c r="F132" s="13" t="s">
        <v>144</v>
      </c>
      <c r="G132" s="13" t="s">
        <v>570</v>
      </c>
      <c r="H132" s="14" t="s">
        <v>571</v>
      </c>
      <c r="I132" s="14" t="s">
        <v>44</v>
      </c>
      <c r="J132" s="14" t="s">
        <v>572</v>
      </c>
    </row>
    <row r="133" customFormat="false" ht="15" hidden="false" customHeight="false" outlineLevel="0" collapsed="false">
      <c r="A133" s="12" t="s">
        <v>568</v>
      </c>
      <c r="B133" s="12" t="s">
        <v>104</v>
      </c>
      <c r="C133" s="12" t="s">
        <v>120</v>
      </c>
      <c r="D133" s="12" t="s">
        <v>164</v>
      </c>
      <c r="E133" s="13" t="s">
        <v>569</v>
      </c>
      <c r="F133" s="13" t="s">
        <v>144</v>
      </c>
      <c r="G133" s="13" t="s">
        <v>387</v>
      </c>
      <c r="H133" s="14" t="s">
        <v>166</v>
      </c>
      <c r="I133" s="14" t="s">
        <v>43</v>
      </c>
      <c r="J133" s="14"/>
    </row>
    <row r="134" customFormat="false" ht="23.85" hidden="false" customHeight="false" outlineLevel="0" collapsed="false">
      <c r="A134" s="12" t="s">
        <v>573</v>
      </c>
      <c r="B134" s="12" t="s">
        <v>104</v>
      </c>
      <c r="C134" s="12" t="s">
        <v>120</v>
      </c>
      <c r="D134" s="12" t="s">
        <v>142</v>
      </c>
      <c r="E134" s="13" t="s">
        <v>574</v>
      </c>
      <c r="F134" s="13" t="s">
        <v>144</v>
      </c>
      <c r="G134" s="13" t="s">
        <v>575</v>
      </c>
      <c r="H134" s="14" t="s">
        <v>208</v>
      </c>
      <c r="I134" s="14" t="s">
        <v>42</v>
      </c>
      <c r="J134" s="14" t="s">
        <v>543</v>
      </c>
    </row>
    <row r="135" customFormat="false" ht="35.05" hidden="false" customHeight="false" outlineLevel="0" collapsed="false">
      <c r="A135" s="12" t="s">
        <v>576</v>
      </c>
      <c r="B135" s="12" t="s">
        <v>104</v>
      </c>
      <c r="C135" s="12" t="s">
        <v>120</v>
      </c>
      <c r="D135" s="12" t="s">
        <v>142</v>
      </c>
      <c r="E135" s="13" t="s">
        <v>577</v>
      </c>
      <c r="F135" s="13" t="s">
        <v>144</v>
      </c>
      <c r="G135" s="13" t="s">
        <v>578</v>
      </c>
      <c r="H135" s="14" t="s">
        <v>579</v>
      </c>
      <c r="I135" s="14" t="s">
        <v>44</v>
      </c>
      <c r="J135" s="14" t="s">
        <v>580</v>
      </c>
    </row>
    <row r="136" customFormat="false" ht="15" hidden="false" customHeight="false" outlineLevel="0" collapsed="false">
      <c r="A136" s="12" t="s">
        <v>576</v>
      </c>
      <c r="B136" s="12" t="s">
        <v>104</v>
      </c>
      <c r="C136" s="12" t="s">
        <v>120</v>
      </c>
      <c r="D136" s="12" t="s">
        <v>164</v>
      </c>
      <c r="E136" s="13" t="s">
        <v>577</v>
      </c>
      <c r="F136" s="13" t="s">
        <v>144</v>
      </c>
      <c r="G136" s="13" t="s">
        <v>387</v>
      </c>
      <c r="H136" s="14" t="s">
        <v>166</v>
      </c>
      <c r="I136" s="14" t="s">
        <v>43</v>
      </c>
      <c r="J136" s="14"/>
    </row>
    <row r="137" customFormat="false" ht="35.05" hidden="false" customHeight="false" outlineLevel="0" collapsed="false">
      <c r="A137" s="12" t="s">
        <v>581</v>
      </c>
      <c r="B137" s="12" t="s">
        <v>104</v>
      </c>
      <c r="C137" s="12" t="s">
        <v>120</v>
      </c>
      <c r="D137" s="12" t="s">
        <v>142</v>
      </c>
      <c r="E137" s="13" t="s">
        <v>582</v>
      </c>
      <c r="F137" s="13" t="s">
        <v>144</v>
      </c>
      <c r="G137" s="13" t="s">
        <v>583</v>
      </c>
      <c r="H137" s="14" t="s">
        <v>584</v>
      </c>
      <c r="I137" s="14" t="s">
        <v>44</v>
      </c>
      <c r="J137" s="14" t="s">
        <v>585</v>
      </c>
    </row>
    <row r="138" customFormat="false" ht="23.85" hidden="false" customHeight="false" outlineLevel="0" collapsed="false">
      <c r="A138" s="12" t="s">
        <v>581</v>
      </c>
      <c r="B138" s="12" t="s">
        <v>104</v>
      </c>
      <c r="C138" s="12" t="s">
        <v>120</v>
      </c>
      <c r="D138" s="12" t="s">
        <v>164</v>
      </c>
      <c r="E138" s="13" t="s">
        <v>582</v>
      </c>
      <c r="F138" s="13" t="s">
        <v>144</v>
      </c>
      <c r="G138" s="13" t="s">
        <v>387</v>
      </c>
      <c r="H138" s="14" t="s">
        <v>166</v>
      </c>
      <c r="I138" s="14" t="s">
        <v>43</v>
      </c>
      <c r="J138" s="14"/>
    </row>
    <row r="139" customFormat="false" ht="46.25" hidden="false" customHeight="false" outlineLevel="0" collapsed="false">
      <c r="A139" s="12" t="s">
        <v>586</v>
      </c>
      <c r="B139" s="12" t="s">
        <v>104</v>
      </c>
      <c r="C139" s="12" t="s">
        <v>120</v>
      </c>
      <c r="D139" s="12" t="s">
        <v>142</v>
      </c>
      <c r="E139" s="13" t="s">
        <v>587</v>
      </c>
      <c r="F139" s="13" t="s">
        <v>144</v>
      </c>
      <c r="G139" s="13" t="s">
        <v>538</v>
      </c>
      <c r="H139" s="14" t="s">
        <v>588</v>
      </c>
      <c r="I139" s="14" t="s">
        <v>41</v>
      </c>
      <c r="J139" s="14"/>
    </row>
    <row r="140" customFormat="false" ht="23.85" hidden="false" customHeight="false" outlineLevel="0" collapsed="false">
      <c r="A140" s="12" t="s">
        <v>586</v>
      </c>
      <c r="B140" s="12" t="s">
        <v>104</v>
      </c>
      <c r="C140" s="12" t="s">
        <v>120</v>
      </c>
      <c r="D140" s="12" t="s">
        <v>164</v>
      </c>
      <c r="E140" s="13" t="s">
        <v>587</v>
      </c>
      <c r="F140" s="13" t="s">
        <v>144</v>
      </c>
      <c r="G140" s="13" t="s">
        <v>589</v>
      </c>
      <c r="H140" s="14" t="s">
        <v>166</v>
      </c>
      <c r="I140" s="14" t="s">
        <v>41</v>
      </c>
      <c r="J140" s="14"/>
    </row>
    <row r="141" customFormat="false" ht="35.05" hidden="false" customHeight="false" outlineLevel="0" collapsed="false">
      <c r="A141" s="12" t="s">
        <v>590</v>
      </c>
      <c r="B141" s="12" t="s">
        <v>105</v>
      </c>
      <c r="C141" s="12" t="s">
        <v>591</v>
      </c>
      <c r="D141" s="12" t="s">
        <v>142</v>
      </c>
      <c r="E141" s="13" t="s">
        <v>592</v>
      </c>
      <c r="F141" s="13" t="s">
        <v>593</v>
      </c>
      <c r="G141" s="13" t="s">
        <v>594</v>
      </c>
      <c r="H141" s="14" t="s">
        <v>595</v>
      </c>
      <c r="I141" s="14" t="s">
        <v>43</v>
      </c>
      <c r="J141" s="14" t="s">
        <v>596</v>
      </c>
    </row>
    <row r="142" customFormat="false" ht="23.85" hidden="false" customHeight="false" outlineLevel="0" collapsed="false">
      <c r="A142" s="12" t="s">
        <v>597</v>
      </c>
      <c r="B142" s="12" t="s">
        <v>105</v>
      </c>
      <c r="C142" s="12" t="s">
        <v>591</v>
      </c>
      <c r="D142" s="12" t="s">
        <v>142</v>
      </c>
      <c r="E142" s="13" t="s">
        <v>598</v>
      </c>
      <c r="F142" s="13" t="s">
        <v>593</v>
      </c>
      <c r="G142" s="13" t="s">
        <v>599</v>
      </c>
      <c r="H142" s="14" t="s">
        <v>600</v>
      </c>
      <c r="I142" s="14" t="s">
        <v>41</v>
      </c>
      <c r="J142" s="14"/>
    </row>
    <row r="143" customFormat="false" ht="35.05" hidden="false" customHeight="false" outlineLevel="0" collapsed="false">
      <c r="A143" s="12" t="s">
        <v>601</v>
      </c>
      <c r="B143" s="12" t="s">
        <v>105</v>
      </c>
      <c r="C143" s="12" t="s">
        <v>591</v>
      </c>
      <c r="D143" s="12" t="s">
        <v>142</v>
      </c>
      <c r="E143" s="13" t="s">
        <v>602</v>
      </c>
      <c r="F143" s="13" t="s">
        <v>593</v>
      </c>
      <c r="G143" s="13" t="s">
        <v>603</v>
      </c>
      <c r="H143" s="14" t="s">
        <v>604</v>
      </c>
      <c r="I143" s="14" t="s">
        <v>43</v>
      </c>
      <c r="J143" s="14" t="s">
        <v>605</v>
      </c>
    </row>
    <row r="144" customFormat="false" ht="23.85" hidden="false" customHeight="false" outlineLevel="0" collapsed="false">
      <c r="A144" s="12" t="s">
        <v>606</v>
      </c>
      <c r="B144" s="12" t="s">
        <v>105</v>
      </c>
      <c r="C144" s="12" t="s">
        <v>591</v>
      </c>
      <c r="D144" s="12" t="s">
        <v>142</v>
      </c>
      <c r="E144" s="13" t="s">
        <v>607</v>
      </c>
      <c r="F144" s="13" t="s">
        <v>593</v>
      </c>
      <c r="G144" s="13" t="s">
        <v>608</v>
      </c>
      <c r="H144" s="14" t="s">
        <v>609</v>
      </c>
      <c r="I144" s="14" t="s">
        <v>41</v>
      </c>
      <c r="J144" s="14"/>
    </row>
    <row r="145" customFormat="false" ht="15" hidden="false" customHeight="false" outlineLevel="0" collapsed="false">
      <c r="A145" s="12" t="s">
        <v>610</v>
      </c>
      <c r="B145" s="12" t="s">
        <v>105</v>
      </c>
      <c r="C145" s="12" t="s">
        <v>591</v>
      </c>
      <c r="D145" s="12" t="s">
        <v>142</v>
      </c>
      <c r="E145" s="13" t="s">
        <v>611</v>
      </c>
      <c r="F145" s="13" t="s">
        <v>144</v>
      </c>
      <c r="G145" s="13" t="s">
        <v>612</v>
      </c>
      <c r="H145" s="14" t="s">
        <v>613</v>
      </c>
      <c r="I145" s="14" t="s">
        <v>41</v>
      </c>
      <c r="J145" s="14"/>
    </row>
    <row r="146" customFormat="false" ht="35.05" hidden="false" customHeight="false" outlineLevel="0" collapsed="false">
      <c r="A146" s="12" t="s">
        <v>614</v>
      </c>
      <c r="B146" s="12" t="s">
        <v>105</v>
      </c>
      <c r="C146" s="12" t="s">
        <v>591</v>
      </c>
      <c r="D146" s="12" t="s">
        <v>142</v>
      </c>
      <c r="E146" s="13" t="s">
        <v>615</v>
      </c>
      <c r="F146" s="13" t="s">
        <v>593</v>
      </c>
      <c r="G146" s="13" t="s">
        <v>616</v>
      </c>
      <c r="H146" s="14" t="s">
        <v>617</v>
      </c>
      <c r="I146" s="14" t="s">
        <v>41</v>
      </c>
      <c r="J146" s="14"/>
    </row>
    <row r="147" customFormat="false" ht="35.05" hidden="false" customHeight="false" outlineLevel="0" collapsed="false">
      <c r="A147" s="12" t="s">
        <v>618</v>
      </c>
      <c r="B147" s="12" t="s">
        <v>105</v>
      </c>
      <c r="C147" s="12" t="s">
        <v>591</v>
      </c>
      <c r="D147" s="12" t="s">
        <v>142</v>
      </c>
      <c r="E147" s="13" t="s">
        <v>619</v>
      </c>
      <c r="F147" s="13" t="s">
        <v>593</v>
      </c>
      <c r="G147" s="13" t="s">
        <v>620</v>
      </c>
      <c r="H147" s="14" t="s">
        <v>621</v>
      </c>
      <c r="I147" s="14" t="s">
        <v>43</v>
      </c>
      <c r="J147" s="14" t="s">
        <v>622</v>
      </c>
    </row>
    <row r="148" customFormat="false" ht="23.85" hidden="false" customHeight="false" outlineLevel="0" collapsed="false">
      <c r="A148" s="12" t="s">
        <v>623</v>
      </c>
      <c r="B148" s="12" t="s">
        <v>105</v>
      </c>
      <c r="C148" s="12" t="s">
        <v>591</v>
      </c>
      <c r="D148" s="12" t="s">
        <v>142</v>
      </c>
      <c r="E148" s="13" t="s">
        <v>624</v>
      </c>
      <c r="F148" s="13" t="s">
        <v>593</v>
      </c>
      <c r="G148" s="13" t="s">
        <v>625</v>
      </c>
      <c r="H148" s="14" t="s">
        <v>626</v>
      </c>
      <c r="I148" s="14" t="s">
        <v>41</v>
      </c>
      <c r="J148" s="14"/>
    </row>
    <row r="149" customFormat="false" ht="35.05" hidden="false" customHeight="false" outlineLevel="0" collapsed="false">
      <c r="A149" s="12" t="s">
        <v>627</v>
      </c>
      <c r="B149" s="12" t="s">
        <v>105</v>
      </c>
      <c r="C149" s="12" t="s">
        <v>591</v>
      </c>
      <c r="D149" s="12" t="s">
        <v>142</v>
      </c>
      <c r="E149" s="13" t="s">
        <v>628</v>
      </c>
      <c r="F149" s="13" t="s">
        <v>593</v>
      </c>
      <c r="G149" s="13" t="s">
        <v>629</v>
      </c>
      <c r="H149" s="14" t="s">
        <v>621</v>
      </c>
      <c r="I149" s="14" t="s">
        <v>41</v>
      </c>
      <c r="J149" s="14"/>
    </row>
    <row r="150" customFormat="false" ht="23.85" hidden="false" customHeight="false" outlineLevel="0" collapsed="false">
      <c r="A150" s="12" t="s">
        <v>630</v>
      </c>
      <c r="B150" s="12" t="s">
        <v>105</v>
      </c>
      <c r="C150" s="12" t="s">
        <v>591</v>
      </c>
      <c r="D150" s="12" t="s">
        <v>142</v>
      </c>
      <c r="E150" s="13" t="s">
        <v>631</v>
      </c>
      <c r="F150" s="13" t="s">
        <v>144</v>
      </c>
      <c r="G150" s="13" t="s">
        <v>612</v>
      </c>
      <c r="H150" s="14" t="s">
        <v>613</v>
      </c>
      <c r="I150" s="14" t="s">
        <v>41</v>
      </c>
      <c r="J150" s="14"/>
    </row>
    <row r="151" customFormat="false" ht="23.85" hidden="false" customHeight="false" outlineLevel="0" collapsed="false">
      <c r="A151" s="12" t="s">
        <v>632</v>
      </c>
      <c r="B151" s="12" t="s">
        <v>107</v>
      </c>
      <c r="C151" s="12" t="s">
        <v>591</v>
      </c>
      <c r="D151" s="12" t="s">
        <v>142</v>
      </c>
      <c r="E151" s="13" t="s">
        <v>633</v>
      </c>
      <c r="F151" s="13" t="s">
        <v>634</v>
      </c>
      <c r="G151" s="13" t="s">
        <v>635</v>
      </c>
      <c r="H151" s="14" t="s">
        <v>636</v>
      </c>
      <c r="I151" s="14" t="s">
        <v>43</v>
      </c>
      <c r="J151" s="14" t="s">
        <v>637</v>
      </c>
    </row>
    <row r="152" customFormat="false" ht="23.85" hidden="false" customHeight="false" outlineLevel="0" collapsed="false">
      <c r="A152" s="12" t="s">
        <v>638</v>
      </c>
      <c r="B152" s="12" t="s">
        <v>107</v>
      </c>
      <c r="C152" s="12" t="s">
        <v>591</v>
      </c>
      <c r="D152" s="12" t="s">
        <v>142</v>
      </c>
      <c r="E152" s="13" t="s">
        <v>639</v>
      </c>
      <c r="F152" s="13" t="s">
        <v>634</v>
      </c>
      <c r="G152" s="13" t="s">
        <v>640</v>
      </c>
      <c r="H152" s="14" t="s">
        <v>641</v>
      </c>
      <c r="I152" s="14" t="s">
        <v>41</v>
      </c>
      <c r="J152" s="14"/>
    </row>
    <row r="153" customFormat="false" ht="23.85" hidden="false" customHeight="false" outlineLevel="0" collapsed="false">
      <c r="A153" s="12" t="s">
        <v>642</v>
      </c>
      <c r="B153" s="12" t="s">
        <v>107</v>
      </c>
      <c r="C153" s="12" t="s">
        <v>591</v>
      </c>
      <c r="D153" s="12" t="s">
        <v>142</v>
      </c>
      <c r="E153" s="13" t="s">
        <v>643</v>
      </c>
      <c r="F153" s="13" t="s">
        <v>634</v>
      </c>
      <c r="G153" s="13" t="s">
        <v>644</v>
      </c>
      <c r="H153" s="14" t="s">
        <v>645</v>
      </c>
      <c r="I153" s="14" t="s">
        <v>41</v>
      </c>
      <c r="J153" s="14"/>
    </row>
    <row r="154" customFormat="false" ht="35.05" hidden="false" customHeight="false" outlineLevel="0" collapsed="false">
      <c r="A154" s="12" t="s">
        <v>646</v>
      </c>
      <c r="B154" s="12" t="s">
        <v>107</v>
      </c>
      <c r="C154" s="12" t="s">
        <v>591</v>
      </c>
      <c r="D154" s="12" t="s">
        <v>142</v>
      </c>
      <c r="E154" s="13" t="s">
        <v>647</v>
      </c>
      <c r="F154" s="13" t="s">
        <v>634</v>
      </c>
      <c r="G154" s="13" t="s">
        <v>648</v>
      </c>
      <c r="H154" s="14" t="s">
        <v>649</v>
      </c>
      <c r="I154" s="14" t="s">
        <v>41</v>
      </c>
      <c r="J154" s="14"/>
    </row>
    <row r="155" customFormat="false" ht="35.05" hidden="false" customHeight="false" outlineLevel="0" collapsed="false">
      <c r="A155" s="12" t="s">
        <v>650</v>
      </c>
      <c r="B155" s="12" t="s">
        <v>107</v>
      </c>
      <c r="C155" s="12" t="s">
        <v>591</v>
      </c>
      <c r="D155" s="12" t="s">
        <v>142</v>
      </c>
      <c r="E155" s="13" t="s">
        <v>651</v>
      </c>
      <c r="F155" s="13" t="s">
        <v>144</v>
      </c>
      <c r="G155" s="13" t="s">
        <v>652</v>
      </c>
      <c r="H155" s="14" t="s">
        <v>653</v>
      </c>
      <c r="I155" s="14" t="s">
        <v>41</v>
      </c>
      <c r="J155" s="14"/>
    </row>
    <row r="156" customFormat="false" ht="35.05" hidden="false" customHeight="false" outlineLevel="0" collapsed="false">
      <c r="A156" s="12" t="s">
        <v>654</v>
      </c>
      <c r="B156" s="12" t="s">
        <v>107</v>
      </c>
      <c r="C156" s="12" t="s">
        <v>591</v>
      </c>
      <c r="D156" s="12" t="s">
        <v>142</v>
      </c>
      <c r="E156" s="13" t="s">
        <v>655</v>
      </c>
      <c r="F156" s="13" t="s">
        <v>144</v>
      </c>
      <c r="G156" s="13" t="s">
        <v>656</v>
      </c>
      <c r="H156" s="14" t="s">
        <v>657</v>
      </c>
      <c r="I156" s="14" t="s">
        <v>43</v>
      </c>
      <c r="J156" s="14" t="s">
        <v>658</v>
      </c>
    </row>
    <row r="157" customFormat="false" ht="23.85" hidden="false" customHeight="false" outlineLevel="0" collapsed="false">
      <c r="A157" s="12" t="s">
        <v>659</v>
      </c>
      <c r="B157" s="12" t="s">
        <v>107</v>
      </c>
      <c r="C157" s="12" t="s">
        <v>591</v>
      </c>
      <c r="D157" s="12" t="s">
        <v>142</v>
      </c>
      <c r="E157" s="13" t="s">
        <v>660</v>
      </c>
      <c r="F157" s="13" t="s">
        <v>634</v>
      </c>
      <c r="G157" s="13" t="s">
        <v>661</v>
      </c>
      <c r="H157" s="14" t="s">
        <v>662</v>
      </c>
      <c r="I157" s="14" t="s">
        <v>41</v>
      </c>
      <c r="J157" s="14"/>
    </row>
    <row r="158" customFormat="false" ht="23.85" hidden="false" customHeight="false" outlineLevel="0" collapsed="false">
      <c r="A158" s="12" t="s">
        <v>663</v>
      </c>
      <c r="B158" s="12" t="s">
        <v>107</v>
      </c>
      <c r="C158" s="12" t="s">
        <v>591</v>
      </c>
      <c r="D158" s="12" t="s">
        <v>142</v>
      </c>
      <c r="E158" s="13" t="s">
        <v>664</v>
      </c>
      <c r="F158" s="13" t="s">
        <v>634</v>
      </c>
      <c r="G158" s="13" t="s">
        <v>665</v>
      </c>
      <c r="H158" s="14" t="s">
        <v>666</v>
      </c>
      <c r="I158" s="14" t="s">
        <v>41</v>
      </c>
      <c r="J158" s="14"/>
    </row>
    <row r="159" customFormat="false" ht="35.05" hidden="false" customHeight="false" outlineLevel="0" collapsed="false">
      <c r="A159" s="12" t="s">
        <v>667</v>
      </c>
      <c r="B159" s="12" t="s">
        <v>107</v>
      </c>
      <c r="C159" s="12" t="s">
        <v>591</v>
      </c>
      <c r="D159" s="12" t="s">
        <v>142</v>
      </c>
      <c r="E159" s="13" t="s">
        <v>668</v>
      </c>
      <c r="F159" s="13" t="s">
        <v>634</v>
      </c>
      <c r="G159" s="13" t="s">
        <v>669</v>
      </c>
      <c r="H159" s="14" t="s">
        <v>670</v>
      </c>
      <c r="I159" s="14" t="s">
        <v>41</v>
      </c>
      <c r="J159" s="14"/>
    </row>
    <row r="160" customFormat="false" ht="35.05" hidden="false" customHeight="false" outlineLevel="0" collapsed="false">
      <c r="A160" s="12" t="s">
        <v>671</v>
      </c>
      <c r="B160" s="12" t="s">
        <v>107</v>
      </c>
      <c r="C160" s="12" t="s">
        <v>591</v>
      </c>
      <c r="D160" s="12" t="s">
        <v>142</v>
      </c>
      <c r="E160" s="13" t="s">
        <v>672</v>
      </c>
      <c r="F160" s="13" t="s">
        <v>144</v>
      </c>
      <c r="G160" s="13" t="s">
        <v>673</v>
      </c>
      <c r="H160" s="14" t="s">
        <v>674</v>
      </c>
      <c r="I160" s="14" t="s">
        <v>41</v>
      </c>
      <c r="J160" s="14"/>
    </row>
    <row r="161" customFormat="false" ht="23.85" hidden="false" customHeight="false" outlineLevel="0" collapsed="false">
      <c r="A161" s="12" t="s">
        <v>675</v>
      </c>
      <c r="B161" s="12" t="s">
        <v>109</v>
      </c>
      <c r="C161" s="12" t="s">
        <v>591</v>
      </c>
      <c r="D161" s="12" t="s">
        <v>142</v>
      </c>
      <c r="E161" s="13" t="s">
        <v>676</v>
      </c>
      <c r="F161" s="13" t="s">
        <v>677</v>
      </c>
      <c r="G161" s="13" t="s">
        <v>678</v>
      </c>
      <c r="H161" s="14" t="s">
        <v>678</v>
      </c>
      <c r="I161" s="14" t="s">
        <v>41</v>
      </c>
      <c r="J161" s="14"/>
    </row>
    <row r="162" customFormat="false" ht="23.85" hidden="false" customHeight="false" outlineLevel="0" collapsed="false">
      <c r="A162" s="12" t="s">
        <v>679</v>
      </c>
      <c r="B162" s="12" t="s">
        <v>109</v>
      </c>
      <c r="C162" s="12" t="s">
        <v>591</v>
      </c>
      <c r="D162" s="12" t="s">
        <v>142</v>
      </c>
      <c r="E162" s="13" t="s">
        <v>680</v>
      </c>
      <c r="F162" s="13" t="s">
        <v>677</v>
      </c>
      <c r="G162" s="13" t="s">
        <v>678</v>
      </c>
      <c r="H162" s="14" t="s">
        <v>613</v>
      </c>
      <c r="I162" s="14" t="s">
        <v>43</v>
      </c>
      <c r="J162" s="14" t="s">
        <v>681</v>
      </c>
    </row>
    <row r="163" customFormat="false" ht="23.85" hidden="false" customHeight="false" outlineLevel="0" collapsed="false">
      <c r="A163" s="12" t="s">
        <v>682</v>
      </c>
      <c r="B163" s="12" t="s">
        <v>109</v>
      </c>
      <c r="C163" s="12" t="s">
        <v>591</v>
      </c>
      <c r="D163" s="12" t="s">
        <v>142</v>
      </c>
      <c r="E163" s="13" t="s">
        <v>683</v>
      </c>
      <c r="F163" s="13" t="s">
        <v>677</v>
      </c>
      <c r="G163" s="13" t="s">
        <v>678</v>
      </c>
      <c r="H163" s="14" t="s">
        <v>678</v>
      </c>
      <c r="I163" s="14" t="s">
        <v>41</v>
      </c>
      <c r="J163" s="14"/>
    </row>
    <row r="164" customFormat="false" ht="15" hidden="false" customHeight="false" outlineLevel="0" collapsed="false">
      <c r="A164" s="12" t="s">
        <v>684</v>
      </c>
      <c r="B164" s="12" t="s">
        <v>109</v>
      </c>
      <c r="C164" s="12" t="s">
        <v>591</v>
      </c>
      <c r="D164" s="12" t="s">
        <v>142</v>
      </c>
      <c r="E164" s="13" t="s">
        <v>685</v>
      </c>
      <c r="F164" s="13" t="s">
        <v>686</v>
      </c>
      <c r="G164" s="13" t="s">
        <v>613</v>
      </c>
      <c r="H164" s="14" t="s">
        <v>613</v>
      </c>
      <c r="I164" s="14" t="s">
        <v>41</v>
      </c>
      <c r="J164" s="14"/>
    </row>
    <row r="165" customFormat="false" ht="23.85" hidden="false" customHeight="false" outlineLevel="0" collapsed="false">
      <c r="A165" s="12" t="s">
        <v>687</v>
      </c>
      <c r="B165" s="12" t="s">
        <v>109</v>
      </c>
      <c r="C165" s="12" t="s">
        <v>591</v>
      </c>
      <c r="D165" s="12" t="s">
        <v>142</v>
      </c>
      <c r="E165" s="13" t="s">
        <v>688</v>
      </c>
      <c r="F165" s="13" t="s">
        <v>689</v>
      </c>
      <c r="G165" s="13" t="s">
        <v>690</v>
      </c>
      <c r="H165" s="14" t="s">
        <v>690</v>
      </c>
      <c r="I165" s="14" t="s">
        <v>41</v>
      </c>
      <c r="J165" s="14"/>
    </row>
    <row r="166" customFormat="false" ht="15" hidden="false" customHeight="false" outlineLevel="0" collapsed="false">
      <c r="A166" s="12" t="s">
        <v>691</v>
      </c>
      <c r="B166" s="12" t="s">
        <v>109</v>
      </c>
      <c r="C166" s="12" t="s">
        <v>591</v>
      </c>
      <c r="D166" s="12" t="s">
        <v>142</v>
      </c>
      <c r="E166" s="13" t="s">
        <v>692</v>
      </c>
      <c r="F166" s="13" t="s">
        <v>686</v>
      </c>
      <c r="G166" s="13" t="s">
        <v>613</v>
      </c>
      <c r="H166" s="14" t="s">
        <v>613</v>
      </c>
      <c r="I166" s="14" t="s">
        <v>41</v>
      </c>
      <c r="J166" s="14"/>
    </row>
    <row r="167" customFormat="false" ht="23.85" hidden="false" customHeight="false" outlineLevel="0" collapsed="false">
      <c r="A167" s="12" t="s">
        <v>693</v>
      </c>
      <c r="B167" s="12" t="s">
        <v>109</v>
      </c>
      <c r="C167" s="12" t="s">
        <v>591</v>
      </c>
      <c r="D167" s="12" t="s">
        <v>142</v>
      </c>
      <c r="E167" s="13" t="s">
        <v>694</v>
      </c>
      <c r="F167" s="13" t="s">
        <v>677</v>
      </c>
      <c r="G167" s="13" t="s">
        <v>678</v>
      </c>
      <c r="H167" s="14" t="s">
        <v>678</v>
      </c>
      <c r="I167" s="14" t="s">
        <v>41</v>
      </c>
      <c r="J167" s="14"/>
    </row>
    <row r="168" customFormat="false" ht="23.85" hidden="false" customHeight="false" outlineLevel="0" collapsed="false">
      <c r="A168" s="12" t="s">
        <v>695</v>
      </c>
      <c r="B168" s="12" t="s">
        <v>109</v>
      </c>
      <c r="C168" s="12" t="s">
        <v>591</v>
      </c>
      <c r="D168" s="12" t="s">
        <v>142</v>
      </c>
      <c r="E168" s="13" t="s">
        <v>696</v>
      </c>
      <c r="F168" s="13" t="s">
        <v>677</v>
      </c>
      <c r="G168" s="13" t="s">
        <v>678</v>
      </c>
      <c r="H168" s="14" t="s">
        <v>678</v>
      </c>
      <c r="I168" s="14" t="s">
        <v>41</v>
      </c>
      <c r="J168" s="14"/>
    </row>
    <row r="169" customFormat="false" ht="15" hidden="false" customHeight="false" outlineLevel="0" collapsed="false">
      <c r="A169" s="12" t="s">
        <v>697</v>
      </c>
      <c r="B169" s="12" t="s">
        <v>109</v>
      </c>
      <c r="C169" s="12" t="s">
        <v>591</v>
      </c>
      <c r="D169" s="12" t="s">
        <v>142</v>
      </c>
      <c r="E169" s="13" t="s">
        <v>698</v>
      </c>
      <c r="F169" s="13" t="s">
        <v>686</v>
      </c>
      <c r="G169" s="13" t="s">
        <v>613</v>
      </c>
      <c r="H169" s="14" t="s">
        <v>613</v>
      </c>
      <c r="I169" s="14" t="s">
        <v>41</v>
      </c>
      <c r="J169" s="14"/>
    </row>
    <row r="170" customFormat="false" ht="15" hidden="false" customHeight="false" outlineLevel="0" collapsed="false">
      <c r="A170" s="12" t="s">
        <v>699</v>
      </c>
      <c r="B170" s="12" t="s">
        <v>109</v>
      </c>
      <c r="C170" s="12" t="s">
        <v>591</v>
      </c>
      <c r="D170" s="12" t="s">
        <v>142</v>
      </c>
      <c r="E170" s="13" t="s">
        <v>700</v>
      </c>
      <c r="F170" s="13" t="s">
        <v>689</v>
      </c>
      <c r="G170" s="13" t="s">
        <v>690</v>
      </c>
      <c r="H170" s="14" t="s">
        <v>690</v>
      </c>
      <c r="I170" s="14" t="s">
        <v>41</v>
      </c>
      <c r="J170" s="14"/>
    </row>
  </sheetData>
  <conditionalFormatting sqref="I5:I170">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2"/>
    <col collapsed="false" customWidth="true" hidden="false" outlineLevel="0" max="4" min="4" style="0" width="7"/>
    <col collapsed="false" customWidth="true" hidden="false" outlineLevel="0" max="5" min="5" style="0" width="40"/>
    <col collapsed="false" customWidth="true" hidden="false" outlineLevel="0" max="6" min="6" style="0" width="10"/>
    <col collapsed="false" customWidth="true" hidden="false" outlineLevel="0" max="7" min="7" style="0" width="44"/>
    <col collapsed="false" customWidth="true" hidden="false" outlineLevel="0" max="8" min="8" style="0" width="52"/>
    <col collapsed="false" customWidth="true" hidden="false" outlineLevel="0" max="9" min="9" style="0" width="12"/>
    <col collapsed="false" customWidth="true" hidden="false" outlineLevel="0" max="10" min="10" style="0" width="44"/>
  </cols>
  <sheetData>
    <row r="1" customFormat="false" ht="17.35" hidden="false" customHeight="false" outlineLevel="0" collapsed="false">
      <c r="A1" s="1" t="s">
        <v>701</v>
      </c>
    </row>
    <row r="2" customFormat="false" ht="15" hidden="false" customHeight="false" outlineLevel="0" collapsed="false">
      <c r="A2" s="2" t="s">
        <v>702</v>
      </c>
    </row>
    <row r="3" customFormat="false" ht="15" hidden="false" customHeight="false" outlineLevel="0" collapsed="false">
      <c r="A3" s="2" t="s">
        <v>703</v>
      </c>
    </row>
    <row r="4" customFormat="false" ht="23.85" hidden="false" customHeight="false" outlineLevel="0" collapsed="false">
      <c r="A4" s="8" t="s">
        <v>132</v>
      </c>
      <c r="B4" s="8" t="s">
        <v>91</v>
      </c>
      <c r="C4" s="8" t="s">
        <v>133</v>
      </c>
      <c r="D4" s="8" t="s">
        <v>134</v>
      </c>
      <c r="E4" s="8" t="s">
        <v>135</v>
      </c>
      <c r="F4" s="8" t="s">
        <v>136</v>
      </c>
      <c r="G4" s="8" t="s">
        <v>137</v>
      </c>
      <c r="H4" s="8" t="s">
        <v>138</v>
      </c>
      <c r="I4" s="8" t="s">
        <v>139</v>
      </c>
      <c r="J4" s="8" t="s">
        <v>140</v>
      </c>
    </row>
    <row r="5" customFormat="false" ht="35.05" hidden="false" customHeight="false" outlineLevel="0" collapsed="false">
      <c r="A5" s="12" t="s">
        <v>704</v>
      </c>
      <c r="B5" s="12" t="s">
        <v>93</v>
      </c>
      <c r="C5" s="12" t="s">
        <v>119</v>
      </c>
      <c r="D5" s="12" t="s">
        <v>142</v>
      </c>
      <c r="E5" s="13" t="s">
        <v>705</v>
      </c>
      <c r="F5" s="13" t="s">
        <v>144</v>
      </c>
      <c r="G5" s="13" t="s">
        <v>706</v>
      </c>
      <c r="H5" s="14" t="s">
        <v>707</v>
      </c>
      <c r="I5" s="14" t="s">
        <v>41</v>
      </c>
      <c r="J5" s="14"/>
    </row>
    <row r="6" customFormat="false" ht="23.85" hidden="false" customHeight="false" outlineLevel="0" collapsed="false">
      <c r="A6" s="12" t="s">
        <v>708</v>
      </c>
      <c r="B6" s="12" t="s">
        <v>93</v>
      </c>
      <c r="C6" s="12" t="s">
        <v>119</v>
      </c>
      <c r="D6" s="12" t="s">
        <v>142</v>
      </c>
      <c r="E6" s="13" t="s">
        <v>709</v>
      </c>
      <c r="F6" s="13" t="s">
        <v>144</v>
      </c>
      <c r="G6" s="13" t="s">
        <v>158</v>
      </c>
      <c r="H6" s="14" t="s">
        <v>241</v>
      </c>
      <c r="I6" s="14" t="s">
        <v>44</v>
      </c>
      <c r="J6" s="14" t="s">
        <v>710</v>
      </c>
    </row>
    <row r="7" customFormat="false" ht="35.05" hidden="false" customHeight="false" outlineLevel="0" collapsed="false">
      <c r="A7" s="12" t="s">
        <v>711</v>
      </c>
      <c r="B7" s="12" t="s">
        <v>93</v>
      </c>
      <c r="C7" s="12" t="s">
        <v>119</v>
      </c>
      <c r="D7" s="12" t="s">
        <v>142</v>
      </c>
      <c r="E7" s="13" t="s">
        <v>712</v>
      </c>
      <c r="F7" s="13" t="s">
        <v>144</v>
      </c>
      <c r="G7" s="13" t="s">
        <v>713</v>
      </c>
      <c r="H7" s="14" t="s">
        <v>714</v>
      </c>
      <c r="I7" s="14" t="s">
        <v>41</v>
      </c>
      <c r="J7" s="14"/>
    </row>
    <row r="8" customFormat="false" ht="35.05" hidden="false" customHeight="false" outlineLevel="0" collapsed="false">
      <c r="A8" s="12" t="s">
        <v>715</v>
      </c>
      <c r="B8" s="12" t="s">
        <v>93</v>
      </c>
      <c r="C8" s="12" t="s">
        <v>119</v>
      </c>
      <c r="D8" s="12" t="s">
        <v>142</v>
      </c>
      <c r="E8" s="13" t="s">
        <v>716</v>
      </c>
      <c r="F8" s="13" t="s">
        <v>144</v>
      </c>
      <c r="G8" s="13" t="s">
        <v>185</v>
      </c>
      <c r="H8" s="14" t="s">
        <v>208</v>
      </c>
      <c r="I8" s="14" t="s">
        <v>42</v>
      </c>
      <c r="J8" s="14" t="s">
        <v>717</v>
      </c>
    </row>
    <row r="9" customFormat="false" ht="35.05" hidden="false" customHeight="false" outlineLevel="0" collapsed="false">
      <c r="A9" s="12" t="s">
        <v>718</v>
      </c>
      <c r="B9" s="12" t="s">
        <v>93</v>
      </c>
      <c r="C9" s="12" t="s">
        <v>119</v>
      </c>
      <c r="D9" s="12" t="s">
        <v>142</v>
      </c>
      <c r="E9" s="13" t="s">
        <v>719</v>
      </c>
      <c r="F9" s="13" t="s">
        <v>144</v>
      </c>
      <c r="G9" s="13" t="s">
        <v>720</v>
      </c>
      <c r="H9" s="14" t="s">
        <v>721</v>
      </c>
      <c r="I9" s="14" t="s">
        <v>41</v>
      </c>
      <c r="J9" s="14"/>
    </row>
    <row r="10" customFormat="false" ht="46.25" hidden="false" customHeight="false" outlineLevel="0" collapsed="false">
      <c r="A10" s="12" t="s">
        <v>722</v>
      </c>
      <c r="B10" s="12" t="s">
        <v>93</v>
      </c>
      <c r="C10" s="12" t="s">
        <v>119</v>
      </c>
      <c r="D10" s="12" t="s">
        <v>142</v>
      </c>
      <c r="E10" s="13" t="s">
        <v>723</v>
      </c>
      <c r="F10" s="13" t="s">
        <v>144</v>
      </c>
      <c r="G10" s="13" t="s">
        <v>724</v>
      </c>
      <c r="H10" s="14" t="s">
        <v>725</v>
      </c>
      <c r="I10" s="14" t="s">
        <v>43</v>
      </c>
      <c r="J10" s="14" t="s">
        <v>726</v>
      </c>
    </row>
    <row r="11" customFormat="false" ht="23.85" hidden="false" customHeight="false" outlineLevel="0" collapsed="false">
      <c r="A11" s="12" t="s">
        <v>722</v>
      </c>
      <c r="B11" s="12" t="s">
        <v>93</v>
      </c>
      <c r="C11" s="12" t="s">
        <v>119</v>
      </c>
      <c r="D11" s="12" t="s">
        <v>164</v>
      </c>
      <c r="E11" s="13" t="s">
        <v>723</v>
      </c>
      <c r="F11" s="13" t="s">
        <v>144</v>
      </c>
      <c r="G11" s="13" t="s">
        <v>727</v>
      </c>
      <c r="H11" s="14" t="s">
        <v>166</v>
      </c>
      <c r="I11" s="14" t="s">
        <v>43</v>
      </c>
      <c r="J11" s="14"/>
    </row>
    <row r="12" customFormat="false" ht="35.05" hidden="false" customHeight="false" outlineLevel="0" collapsed="false">
      <c r="A12" s="12" t="s">
        <v>728</v>
      </c>
      <c r="B12" s="12" t="s">
        <v>93</v>
      </c>
      <c r="C12" s="12" t="s">
        <v>119</v>
      </c>
      <c r="D12" s="12" t="s">
        <v>142</v>
      </c>
      <c r="E12" s="13" t="s">
        <v>729</v>
      </c>
      <c r="F12" s="13" t="s">
        <v>144</v>
      </c>
      <c r="G12" s="13" t="s">
        <v>730</v>
      </c>
      <c r="H12" s="14" t="s">
        <v>731</v>
      </c>
      <c r="I12" s="14" t="s">
        <v>41</v>
      </c>
      <c r="J12" s="14"/>
    </row>
    <row r="13" customFormat="false" ht="35.05" hidden="false" customHeight="false" outlineLevel="0" collapsed="false">
      <c r="A13" s="12" t="s">
        <v>732</v>
      </c>
      <c r="B13" s="12" t="s">
        <v>93</v>
      </c>
      <c r="C13" s="12" t="s">
        <v>119</v>
      </c>
      <c r="D13" s="12" t="s">
        <v>142</v>
      </c>
      <c r="E13" s="13" t="s">
        <v>733</v>
      </c>
      <c r="F13" s="13" t="s">
        <v>144</v>
      </c>
      <c r="G13" s="13" t="s">
        <v>734</v>
      </c>
      <c r="H13" s="14" t="s">
        <v>735</v>
      </c>
      <c r="I13" s="14" t="s">
        <v>41</v>
      </c>
      <c r="J13" s="14"/>
    </row>
    <row r="14" customFormat="false" ht="35.05" hidden="false" customHeight="false" outlineLevel="0" collapsed="false">
      <c r="A14" s="12" t="s">
        <v>736</v>
      </c>
      <c r="B14" s="12" t="s">
        <v>93</v>
      </c>
      <c r="C14" s="12" t="s">
        <v>120</v>
      </c>
      <c r="D14" s="12" t="s">
        <v>142</v>
      </c>
      <c r="E14" s="13" t="s">
        <v>737</v>
      </c>
      <c r="F14" s="13" t="s">
        <v>144</v>
      </c>
      <c r="G14" s="13" t="s">
        <v>738</v>
      </c>
      <c r="H14" s="14" t="s">
        <v>739</v>
      </c>
      <c r="I14" s="14" t="s">
        <v>41</v>
      </c>
      <c r="J14" s="14"/>
    </row>
    <row r="15" customFormat="false" ht="35.05" hidden="false" customHeight="false" outlineLevel="0" collapsed="false">
      <c r="A15" s="12" t="s">
        <v>740</v>
      </c>
      <c r="B15" s="12" t="s">
        <v>93</v>
      </c>
      <c r="C15" s="12" t="s">
        <v>120</v>
      </c>
      <c r="D15" s="12" t="s">
        <v>142</v>
      </c>
      <c r="E15" s="13" t="s">
        <v>741</v>
      </c>
      <c r="F15" s="13" t="s">
        <v>144</v>
      </c>
      <c r="G15" s="13" t="s">
        <v>742</v>
      </c>
      <c r="H15" s="14" t="s">
        <v>743</v>
      </c>
      <c r="I15" s="14" t="s">
        <v>41</v>
      </c>
      <c r="J15" s="14"/>
    </row>
    <row r="16" customFormat="false" ht="46.25" hidden="false" customHeight="false" outlineLevel="0" collapsed="false">
      <c r="A16" s="12" t="s">
        <v>744</v>
      </c>
      <c r="B16" s="12" t="s">
        <v>93</v>
      </c>
      <c r="C16" s="12" t="s">
        <v>120</v>
      </c>
      <c r="D16" s="12" t="s">
        <v>142</v>
      </c>
      <c r="E16" s="13" t="s">
        <v>745</v>
      </c>
      <c r="F16" s="13" t="s">
        <v>144</v>
      </c>
      <c r="G16" s="13" t="s">
        <v>746</v>
      </c>
      <c r="H16" s="14" t="s">
        <v>747</v>
      </c>
      <c r="I16" s="14" t="s">
        <v>41</v>
      </c>
      <c r="J16" s="14"/>
    </row>
    <row r="17" customFormat="false" ht="23.85" hidden="false" customHeight="false" outlineLevel="0" collapsed="false">
      <c r="A17" s="12" t="s">
        <v>744</v>
      </c>
      <c r="B17" s="12" t="s">
        <v>93</v>
      </c>
      <c r="C17" s="12" t="s">
        <v>120</v>
      </c>
      <c r="D17" s="12" t="s">
        <v>164</v>
      </c>
      <c r="E17" s="13" t="s">
        <v>745</v>
      </c>
      <c r="F17" s="13" t="s">
        <v>144</v>
      </c>
      <c r="G17" s="13" t="s">
        <v>748</v>
      </c>
      <c r="H17" s="14" t="s">
        <v>166</v>
      </c>
      <c r="I17" s="14" t="s">
        <v>41</v>
      </c>
      <c r="J17" s="14"/>
    </row>
    <row r="18" customFormat="false" ht="23.85" hidden="false" customHeight="false" outlineLevel="0" collapsed="false">
      <c r="A18" s="12" t="s">
        <v>749</v>
      </c>
      <c r="B18" s="12" t="s">
        <v>93</v>
      </c>
      <c r="C18" s="12" t="s">
        <v>120</v>
      </c>
      <c r="D18" s="12" t="s">
        <v>142</v>
      </c>
      <c r="E18" s="13" t="s">
        <v>750</v>
      </c>
      <c r="F18" s="13" t="s">
        <v>144</v>
      </c>
      <c r="G18" s="13" t="s">
        <v>751</v>
      </c>
      <c r="H18" s="14" t="s">
        <v>752</v>
      </c>
      <c r="I18" s="14" t="s">
        <v>41</v>
      </c>
      <c r="J18" s="14"/>
    </row>
    <row r="19" customFormat="false" ht="35.05" hidden="false" customHeight="false" outlineLevel="0" collapsed="false">
      <c r="A19" s="12" t="s">
        <v>753</v>
      </c>
      <c r="B19" s="12" t="s">
        <v>93</v>
      </c>
      <c r="C19" s="12" t="s">
        <v>120</v>
      </c>
      <c r="D19" s="12" t="s">
        <v>142</v>
      </c>
      <c r="E19" s="13" t="s">
        <v>754</v>
      </c>
      <c r="F19" s="13" t="s">
        <v>206</v>
      </c>
      <c r="G19" s="13" t="s">
        <v>755</v>
      </c>
      <c r="H19" s="14" t="s">
        <v>208</v>
      </c>
      <c r="I19" s="14" t="s">
        <v>41</v>
      </c>
      <c r="J19" s="14" t="s">
        <v>209</v>
      </c>
    </row>
    <row r="20" customFormat="false" ht="68.65" hidden="false" customHeight="false" outlineLevel="0" collapsed="false">
      <c r="A20" s="12" t="s">
        <v>756</v>
      </c>
      <c r="B20" s="12" t="s">
        <v>93</v>
      </c>
      <c r="C20" s="12" t="s">
        <v>120</v>
      </c>
      <c r="D20" s="12" t="s">
        <v>142</v>
      </c>
      <c r="E20" s="13" t="s">
        <v>757</v>
      </c>
      <c r="F20" s="13" t="s">
        <v>144</v>
      </c>
      <c r="G20" s="13" t="s">
        <v>742</v>
      </c>
      <c r="H20" s="14" t="s">
        <v>758</v>
      </c>
      <c r="I20" s="14" t="s">
        <v>41</v>
      </c>
      <c r="J20" s="14"/>
    </row>
    <row r="21" customFormat="false" ht="23.85" hidden="false" customHeight="false" outlineLevel="0" collapsed="false">
      <c r="A21" s="12" t="s">
        <v>756</v>
      </c>
      <c r="B21" s="12" t="s">
        <v>93</v>
      </c>
      <c r="C21" s="12" t="s">
        <v>120</v>
      </c>
      <c r="D21" s="12" t="s">
        <v>164</v>
      </c>
      <c r="E21" s="13" t="s">
        <v>757</v>
      </c>
      <c r="F21" s="13" t="s">
        <v>144</v>
      </c>
      <c r="G21" s="13" t="s">
        <v>759</v>
      </c>
      <c r="H21" s="14" t="s">
        <v>166</v>
      </c>
      <c r="I21" s="14" t="s">
        <v>41</v>
      </c>
      <c r="J21" s="14"/>
    </row>
    <row r="22" customFormat="false" ht="23.85" hidden="false" customHeight="false" outlineLevel="0" collapsed="false">
      <c r="A22" s="12" t="s">
        <v>756</v>
      </c>
      <c r="B22" s="12" t="s">
        <v>93</v>
      </c>
      <c r="C22" s="12" t="s">
        <v>120</v>
      </c>
      <c r="D22" s="12" t="s">
        <v>386</v>
      </c>
      <c r="E22" s="13" t="s">
        <v>757</v>
      </c>
      <c r="F22" s="13" t="s">
        <v>144</v>
      </c>
      <c r="G22" s="13" t="s">
        <v>760</v>
      </c>
      <c r="H22" s="14" t="s">
        <v>166</v>
      </c>
      <c r="I22" s="14" t="s">
        <v>41</v>
      </c>
      <c r="J22" s="14"/>
    </row>
    <row r="23" customFormat="false" ht="23.85" hidden="false" customHeight="false" outlineLevel="0" collapsed="false">
      <c r="A23" s="12" t="s">
        <v>761</v>
      </c>
      <c r="B23" s="12" t="s">
        <v>93</v>
      </c>
      <c r="C23" s="12" t="s">
        <v>120</v>
      </c>
      <c r="D23" s="12" t="s">
        <v>142</v>
      </c>
      <c r="E23" s="13" t="s">
        <v>762</v>
      </c>
      <c r="F23" s="13" t="s">
        <v>178</v>
      </c>
      <c r="G23" s="13" t="s">
        <v>154</v>
      </c>
      <c r="H23" s="14" t="s">
        <v>154</v>
      </c>
      <c r="I23" s="14" t="s">
        <v>41</v>
      </c>
      <c r="J23" s="14"/>
    </row>
    <row r="24" customFormat="false" ht="46.25" hidden="false" customHeight="false" outlineLevel="0" collapsed="false">
      <c r="A24" s="12" t="s">
        <v>763</v>
      </c>
      <c r="B24" s="12" t="s">
        <v>95</v>
      </c>
      <c r="C24" s="12" t="s">
        <v>119</v>
      </c>
      <c r="D24" s="12" t="s">
        <v>142</v>
      </c>
      <c r="E24" s="13" t="s">
        <v>764</v>
      </c>
      <c r="F24" s="13" t="s">
        <v>144</v>
      </c>
      <c r="G24" s="13" t="s">
        <v>765</v>
      </c>
      <c r="H24" s="14" t="s">
        <v>766</v>
      </c>
      <c r="I24" s="14" t="s">
        <v>43</v>
      </c>
      <c r="J24" s="14" t="s">
        <v>767</v>
      </c>
    </row>
    <row r="25" customFormat="false" ht="46.25" hidden="false" customHeight="false" outlineLevel="0" collapsed="false">
      <c r="A25" s="12" t="s">
        <v>768</v>
      </c>
      <c r="B25" s="12" t="s">
        <v>95</v>
      </c>
      <c r="C25" s="12" t="s">
        <v>119</v>
      </c>
      <c r="D25" s="12" t="s">
        <v>142</v>
      </c>
      <c r="E25" s="13" t="s">
        <v>769</v>
      </c>
      <c r="F25" s="13" t="s">
        <v>144</v>
      </c>
      <c r="G25" s="13" t="s">
        <v>770</v>
      </c>
      <c r="H25" s="14" t="s">
        <v>771</v>
      </c>
      <c r="I25" s="14" t="s">
        <v>41</v>
      </c>
      <c r="J25" s="14"/>
    </row>
    <row r="26" customFormat="false" ht="23.85" hidden="false" customHeight="false" outlineLevel="0" collapsed="false">
      <c r="A26" s="12" t="s">
        <v>772</v>
      </c>
      <c r="B26" s="12" t="s">
        <v>95</v>
      </c>
      <c r="C26" s="12" t="s">
        <v>119</v>
      </c>
      <c r="D26" s="12" t="s">
        <v>142</v>
      </c>
      <c r="E26" s="13" t="s">
        <v>773</v>
      </c>
      <c r="F26" s="13" t="s">
        <v>144</v>
      </c>
      <c r="G26" s="13" t="s">
        <v>774</v>
      </c>
      <c r="H26" s="14" t="s">
        <v>775</v>
      </c>
      <c r="I26" s="14" t="s">
        <v>41</v>
      </c>
      <c r="J26" s="14"/>
    </row>
    <row r="27" customFormat="false" ht="68.65" hidden="false" customHeight="false" outlineLevel="0" collapsed="false">
      <c r="A27" s="12" t="s">
        <v>776</v>
      </c>
      <c r="B27" s="12" t="s">
        <v>95</v>
      </c>
      <c r="C27" s="12" t="s">
        <v>119</v>
      </c>
      <c r="D27" s="12" t="s">
        <v>142</v>
      </c>
      <c r="E27" s="13" t="s">
        <v>777</v>
      </c>
      <c r="F27" s="13" t="s">
        <v>144</v>
      </c>
      <c r="G27" s="13" t="s">
        <v>778</v>
      </c>
      <c r="H27" s="14" t="s">
        <v>779</v>
      </c>
      <c r="I27" s="14" t="s">
        <v>41</v>
      </c>
      <c r="J27" s="14"/>
    </row>
    <row r="28" customFormat="false" ht="23.85" hidden="false" customHeight="false" outlineLevel="0" collapsed="false">
      <c r="A28" s="12" t="s">
        <v>776</v>
      </c>
      <c r="B28" s="12" t="s">
        <v>95</v>
      </c>
      <c r="C28" s="12" t="s">
        <v>119</v>
      </c>
      <c r="D28" s="12" t="s">
        <v>164</v>
      </c>
      <c r="E28" s="13" t="s">
        <v>777</v>
      </c>
      <c r="F28" s="13" t="s">
        <v>144</v>
      </c>
      <c r="G28" s="13" t="s">
        <v>780</v>
      </c>
      <c r="H28" s="14" t="s">
        <v>166</v>
      </c>
      <c r="I28" s="14" t="s">
        <v>41</v>
      </c>
      <c r="J28" s="14"/>
    </row>
    <row r="29" customFormat="false" ht="46.25" hidden="false" customHeight="false" outlineLevel="0" collapsed="false">
      <c r="A29" s="12" t="s">
        <v>781</v>
      </c>
      <c r="B29" s="12" t="s">
        <v>95</v>
      </c>
      <c r="C29" s="12" t="s">
        <v>119</v>
      </c>
      <c r="D29" s="12" t="s">
        <v>142</v>
      </c>
      <c r="E29" s="13" t="s">
        <v>782</v>
      </c>
      <c r="F29" s="13" t="s">
        <v>144</v>
      </c>
      <c r="G29" s="13" t="s">
        <v>783</v>
      </c>
      <c r="H29" s="14" t="s">
        <v>784</v>
      </c>
      <c r="I29" s="14" t="s">
        <v>41</v>
      </c>
      <c r="J29" s="14"/>
    </row>
    <row r="30" customFormat="false" ht="57.45" hidden="false" customHeight="false" outlineLevel="0" collapsed="false">
      <c r="A30" s="12" t="s">
        <v>785</v>
      </c>
      <c r="B30" s="12" t="s">
        <v>95</v>
      </c>
      <c r="C30" s="12" t="s">
        <v>119</v>
      </c>
      <c r="D30" s="12" t="s">
        <v>142</v>
      </c>
      <c r="E30" s="13" t="s">
        <v>786</v>
      </c>
      <c r="F30" s="13" t="s">
        <v>144</v>
      </c>
      <c r="G30" s="13" t="s">
        <v>787</v>
      </c>
      <c r="H30" s="14" t="s">
        <v>788</v>
      </c>
      <c r="I30" s="14" t="s">
        <v>43</v>
      </c>
      <c r="J30" s="14" t="s">
        <v>789</v>
      </c>
    </row>
    <row r="31" customFormat="false" ht="35.05" hidden="false" customHeight="false" outlineLevel="0" collapsed="false">
      <c r="A31" s="12" t="s">
        <v>790</v>
      </c>
      <c r="B31" s="12" t="s">
        <v>95</v>
      </c>
      <c r="C31" s="12" t="s">
        <v>119</v>
      </c>
      <c r="D31" s="12" t="s">
        <v>142</v>
      </c>
      <c r="E31" s="13" t="s">
        <v>791</v>
      </c>
      <c r="F31" s="13" t="s">
        <v>144</v>
      </c>
      <c r="G31" s="13" t="s">
        <v>792</v>
      </c>
      <c r="H31" s="14" t="s">
        <v>793</v>
      </c>
      <c r="I31" s="14" t="s">
        <v>41</v>
      </c>
      <c r="J31" s="14"/>
    </row>
    <row r="32" customFormat="false" ht="68.65" hidden="false" customHeight="false" outlineLevel="0" collapsed="false">
      <c r="A32" s="12" t="s">
        <v>794</v>
      </c>
      <c r="B32" s="12" t="s">
        <v>95</v>
      </c>
      <c r="C32" s="12" t="s">
        <v>119</v>
      </c>
      <c r="D32" s="12" t="s">
        <v>142</v>
      </c>
      <c r="E32" s="13" t="s">
        <v>795</v>
      </c>
      <c r="F32" s="13" t="s">
        <v>144</v>
      </c>
      <c r="G32" s="13" t="s">
        <v>796</v>
      </c>
      <c r="H32" s="14" t="s">
        <v>797</v>
      </c>
      <c r="I32" s="14" t="s">
        <v>43</v>
      </c>
      <c r="J32" s="14" t="s">
        <v>237</v>
      </c>
    </row>
    <row r="33" customFormat="false" ht="23.85" hidden="false" customHeight="false" outlineLevel="0" collapsed="false">
      <c r="A33" s="12" t="s">
        <v>794</v>
      </c>
      <c r="B33" s="12" t="s">
        <v>95</v>
      </c>
      <c r="C33" s="12" t="s">
        <v>119</v>
      </c>
      <c r="D33" s="12" t="s">
        <v>164</v>
      </c>
      <c r="E33" s="13" t="s">
        <v>795</v>
      </c>
      <c r="F33" s="13" t="s">
        <v>144</v>
      </c>
      <c r="G33" s="13" t="s">
        <v>798</v>
      </c>
      <c r="H33" s="14" t="s">
        <v>166</v>
      </c>
      <c r="I33" s="14" t="s">
        <v>41</v>
      </c>
      <c r="J33" s="14"/>
    </row>
    <row r="34" customFormat="false" ht="23.85" hidden="false" customHeight="false" outlineLevel="0" collapsed="false">
      <c r="A34" s="12" t="s">
        <v>799</v>
      </c>
      <c r="B34" s="12" t="s">
        <v>95</v>
      </c>
      <c r="C34" s="12" t="s">
        <v>120</v>
      </c>
      <c r="D34" s="12" t="s">
        <v>142</v>
      </c>
      <c r="E34" s="13" t="s">
        <v>800</v>
      </c>
      <c r="F34" s="13" t="s">
        <v>144</v>
      </c>
      <c r="G34" s="13" t="s">
        <v>801</v>
      </c>
      <c r="H34" s="14" t="s">
        <v>802</v>
      </c>
      <c r="I34" s="14" t="s">
        <v>41</v>
      </c>
      <c r="J34" s="14"/>
    </row>
    <row r="35" customFormat="false" ht="23.85" hidden="false" customHeight="false" outlineLevel="0" collapsed="false">
      <c r="A35" s="12" t="s">
        <v>803</v>
      </c>
      <c r="B35" s="12" t="s">
        <v>95</v>
      </c>
      <c r="C35" s="12" t="s">
        <v>120</v>
      </c>
      <c r="D35" s="12" t="s">
        <v>142</v>
      </c>
      <c r="E35" s="13" t="s">
        <v>804</v>
      </c>
      <c r="F35" s="13" t="s">
        <v>144</v>
      </c>
      <c r="G35" s="13" t="s">
        <v>805</v>
      </c>
      <c r="H35" s="14" t="s">
        <v>806</v>
      </c>
      <c r="I35" s="14" t="s">
        <v>41</v>
      </c>
      <c r="J35" s="14"/>
    </row>
    <row r="36" customFormat="false" ht="46.25" hidden="false" customHeight="false" outlineLevel="0" collapsed="false">
      <c r="A36" s="12" t="s">
        <v>807</v>
      </c>
      <c r="B36" s="12" t="s">
        <v>95</v>
      </c>
      <c r="C36" s="12" t="s">
        <v>120</v>
      </c>
      <c r="D36" s="12" t="s">
        <v>142</v>
      </c>
      <c r="E36" s="13" t="s">
        <v>808</v>
      </c>
      <c r="F36" s="13" t="s">
        <v>144</v>
      </c>
      <c r="G36" s="13" t="s">
        <v>809</v>
      </c>
      <c r="H36" s="14" t="s">
        <v>810</v>
      </c>
      <c r="I36" s="14" t="s">
        <v>43</v>
      </c>
      <c r="J36" s="14" t="s">
        <v>811</v>
      </c>
    </row>
    <row r="37" customFormat="false" ht="23.85" hidden="false" customHeight="false" outlineLevel="0" collapsed="false">
      <c r="A37" s="12" t="s">
        <v>812</v>
      </c>
      <c r="B37" s="12" t="s">
        <v>95</v>
      </c>
      <c r="C37" s="12" t="s">
        <v>120</v>
      </c>
      <c r="D37" s="12" t="s">
        <v>142</v>
      </c>
      <c r="E37" s="13" t="s">
        <v>813</v>
      </c>
      <c r="F37" s="13" t="s">
        <v>144</v>
      </c>
      <c r="G37" s="13" t="s">
        <v>814</v>
      </c>
      <c r="H37" s="14" t="s">
        <v>154</v>
      </c>
      <c r="I37" s="14" t="s">
        <v>44</v>
      </c>
      <c r="J37" s="14" t="s">
        <v>815</v>
      </c>
    </row>
    <row r="38" customFormat="false" ht="23.85" hidden="false" customHeight="false" outlineLevel="0" collapsed="false">
      <c r="A38" s="12" t="s">
        <v>816</v>
      </c>
      <c r="B38" s="12" t="s">
        <v>95</v>
      </c>
      <c r="C38" s="12" t="s">
        <v>120</v>
      </c>
      <c r="D38" s="12" t="s">
        <v>142</v>
      </c>
      <c r="E38" s="13" t="s">
        <v>817</v>
      </c>
      <c r="F38" s="13" t="s">
        <v>206</v>
      </c>
      <c r="G38" s="13" t="s">
        <v>818</v>
      </c>
      <c r="H38" s="14" t="s">
        <v>213</v>
      </c>
      <c r="I38" s="14" t="s">
        <v>41</v>
      </c>
      <c r="J38" s="14" t="s">
        <v>214</v>
      </c>
    </row>
    <row r="39" customFormat="false" ht="79.85" hidden="false" customHeight="false" outlineLevel="0" collapsed="false">
      <c r="A39" s="12" t="s">
        <v>819</v>
      </c>
      <c r="B39" s="12" t="s">
        <v>95</v>
      </c>
      <c r="C39" s="12" t="s">
        <v>120</v>
      </c>
      <c r="D39" s="12" t="s">
        <v>142</v>
      </c>
      <c r="E39" s="13" t="s">
        <v>820</v>
      </c>
      <c r="F39" s="13" t="s">
        <v>144</v>
      </c>
      <c r="G39" s="13" t="s">
        <v>821</v>
      </c>
      <c r="H39" s="14" t="s">
        <v>822</v>
      </c>
      <c r="I39" s="14" t="s">
        <v>43</v>
      </c>
      <c r="J39" s="14" t="s">
        <v>823</v>
      </c>
    </row>
    <row r="40" customFormat="false" ht="23.85" hidden="false" customHeight="false" outlineLevel="0" collapsed="false">
      <c r="A40" s="12" t="s">
        <v>819</v>
      </c>
      <c r="B40" s="12" t="s">
        <v>95</v>
      </c>
      <c r="C40" s="12" t="s">
        <v>120</v>
      </c>
      <c r="D40" s="12" t="s">
        <v>164</v>
      </c>
      <c r="E40" s="13" t="s">
        <v>820</v>
      </c>
      <c r="F40" s="13" t="s">
        <v>144</v>
      </c>
      <c r="G40" s="13" t="s">
        <v>824</v>
      </c>
      <c r="H40" s="14" t="s">
        <v>166</v>
      </c>
      <c r="I40" s="14" t="s">
        <v>44</v>
      </c>
      <c r="J40" s="14"/>
    </row>
    <row r="41" customFormat="false" ht="23.85" hidden="false" customHeight="false" outlineLevel="0" collapsed="false">
      <c r="A41" s="12" t="s">
        <v>819</v>
      </c>
      <c r="B41" s="12" t="s">
        <v>95</v>
      </c>
      <c r="C41" s="12" t="s">
        <v>120</v>
      </c>
      <c r="D41" s="12" t="s">
        <v>386</v>
      </c>
      <c r="E41" s="13" t="s">
        <v>820</v>
      </c>
      <c r="F41" s="13" t="s">
        <v>144</v>
      </c>
      <c r="G41" s="13" t="s">
        <v>387</v>
      </c>
      <c r="H41" s="14" t="s">
        <v>166</v>
      </c>
      <c r="I41" s="14" t="s">
        <v>43</v>
      </c>
      <c r="J41" s="14"/>
    </row>
    <row r="42" customFormat="false" ht="23.85" hidden="false" customHeight="false" outlineLevel="0" collapsed="false">
      <c r="A42" s="12" t="s">
        <v>825</v>
      </c>
      <c r="B42" s="12" t="s">
        <v>95</v>
      </c>
      <c r="C42" s="12" t="s">
        <v>120</v>
      </c>
      <c r="D42" s="12" t="s">
        <v>142</v>
      </c>
      <c r="E42" s="13" t="s">
        <v>826</v>
      </c>
      <c r="F42" s="13" t="s">
        <v>178</v>
      </c>
      <c r="G42" s="13" t="s">
        <v>154</v>
      </c>
      <c r="H42" s="14" t="s">
        <v>154</v>
      </c>
      <c r="I42" s="14" t="s">
        <v>41</v>
      </c>
      <c r="J42" s="14"/>
    </row>
    <row r="43" customFormat="false" ht="46.25" hidden="false" customHeight="false" outlineLevel="0" collapsed="false">
      <c r="A43" s="12" t="s">
        <v>827</v>
      </c>
      <c r="B43" s="12" t="s">
        <v>97</v>
      </c>
      <c r="C43" s="12" t="s">
        <v>119</v>
      </c>
      <c r="D43" s="12" t="s">
        <v>142</v>
      </c>
      <c r="E43" s="13" t="s">
        <v>828</v>
      </c>
      <c r="F43" s="13" t="s">
        <v>144</v>
      </c>
      <c r="G43" s="13" t="s">
        <v>829</v>
      </c>
      <c r="H43" s="14" t="s">
        <v>830</v>
      </c>
      <c r="I43" s="14" t="s">
        <v>41</v>
      </c>
      <c r="J43" s="14"/>
    </row>
    <row r="44" customFormat="false" ht="46.25" hidden="false" customHeight="false" outlineLevel="0" collapsed="false">
      <c r="A44" s="12" t="s">
        <v>831</v>
      </c>
      <c r="B44" s="12" t="s">
        <v>97</v>
      </c>
      <c r="C44" s="12" t="s">
        <v>119</v>
      </c>
      <c r="D44" s="12" t="s">
        <v>142</v>
      </c>
      <c r="E44" s="13" t="s">
        <v>832</v>
      </c>
      <c r="F44" s="13" t="s">
        <v>144</v>
      </c>
      <c r="G44" s="13" t="s">
        <v>833</v>
      </c>
      <c r="H44" s="14" t="s">
        <v>834</v>
      </c>
      <c r="I44" s="14" t="s">
        <v>41</v>
      </c>
      <c r="J44" s="14"/>
    </row>
    <row r="45" customFormat="false" ht="23.85" hidden="false" customHeight="false" outlineLevel="0" collapsed="false">
      <c r="A45" s="12" t="s">
        <v>835</v>
      </c>
      <c r="B45" s="12" t="s">
        <v>97</v>
      </c>
      <c r="C45" s="12" t="s">
        <v>119</v>
      </c>
      <c r="D45" s="12" t="s">
        <v>142</v>
      </c>
      <c r="E45" s="13" t="s">
        <v>836</v>
      </c>
      <c r="F45" s="13" t="s">
        <v>144</v>
      </c>
      <c r="G45" s="13" t="s">
        <v>837</v>
      </c>
      <c r="H45" s="14" t="s">
        <v>838</v>
      </c>
      <c r="I45" s="14" t="s">
        <v>41</v>
      </c>
      <c r="J45" s="14"/>
    </row>
    <row r="46" customFormat="false" ht="68.65" hidden="false" customHeight="false" outlineLevel="0" collapsed="false">
      <c r="A46" s="12" t="s">
        <v>839</v>
      </c>
      <c r="B46" s="12" t="s">
        <v>97</v>
      </c>
      <c r="C46" s="12" t="s">
        <v>119</v>
      </c>
      <c r="D46" s="12" t="s">
        <v>142</v>
      </c>
      <c r="E46" s="13" t="s">
        <v>840</v>
      </c>
      <c r="F46" s="13" t="s">
        <v>144</v>
      </c>
      <c r="G46" s="13" t="s">
        <v>841</v>
      </c>
      <c r="H46" s="14" t="s">
        <v>842</v>
      </c>
      <c r="I46" s="14" t="s">
        <v>41</v>
      </c>
      <c r="J46" s="14"/>
    </row>
    <row r="47" customFormat="false" ht="23.85" hidden="false" customHeight="false" outlineLevel="0" collapsed="false">
      <c r="A47" s="12" t="s">
        <v>839</v>
      </c>
      <c r="B47" s="12" t="s">
        <v>97</v>
      </c>
      <c r="C47" s="12" t="s">
        <v>119</v>
      </c>
      <c r="D47" s="12" t="s">
        <v>164</v>
      </c>
      <c r="E47" s="13" t="s">
        <v>840</v>
      </c>
      <c r="F47" s="13" t="s">
        <v>144</v>
      </c>
      <c r="G47" s="13" t="s">
        <v>843</v>
      </c>
      <c r="H47" s="14" t="s">
        <v>166</v>
      </c>
      <c r="I47" s="14" t="s">
        <v>41</v>
      </c>
      <c r="J47" s="14"/>
    </row>
    <row r="48" customFormat="false" ht="23.85" hidden="false" customHeight="false" outlineLevel="0" collapsed="false">
      <c r="A48" s="12" t="s">
        <v>844</v>
      </c>
      <c r="B48" s="12" t="s">
        <v>97</v>
      </c>
      <c r="C48" s="12" t="s">
        <v>119</v>
      </c>
      <c r="D48" s="12" t="s">
        <v>142</v>
      </c>
      <c r="E48" s="13" t="s">
        <v>845</v>
      </c>
      <c r="F48" s="13" t="s">
        <v>144</v>
      </c>
      <c r="G48" s="13" t="s">
        <v>846</v>
      </c>
      <c r="H48" s="14" t="s">
        <v>847</v>
      </c>
      <c r="I48" s="14" t="s">
        <v>41</v>
      </c>
      <c r="J48" s="14"/>
    </row>
    <row r="49" customFormat="false" ht="35.05" hidden="false" customHeight="false" outlineLevel="0" collapsed="false">
      <c r="A49" s="12" t="s">
        <v>848</v>
      </c>
      <c r="B49" s="12" t="s">
        <v>97</v>
      </c>
      <c r="C49" s="12" t="s">
        <v>119</v>
      </c>
      <c r="D49" s="12" t="s">
        <v>142</v>
      </c>
      <c r="E49" s="13" t="s">
        <v>849</v>
      </c>
      <c r="F49" s="13" t="s">
        <v>144</v>
      </c>
      <c r="G49" s="13" t="s">
        <v>850</v>
      </c>
      <c r="H49" s="14" t="s">
        <v>248</v>
      </c>
      <c r="I49" s="14" t="s">
        <v>44</v>
      </c>
      <c r="J49" s="14" t="s">
        <v>851</v>
      </c>
    </row>
    <row r="50" customFormat="false" ht="35.05" hidden="false" customHeight="false" outlineLevel="0" collapsed="false">
      <c r="A50" s="12" t="s">
        <v>852</v>
      </c>
      <c r="B50" s="12" t="s">
        <v>97</v>
      </c>
      <c r="C50" s="12" t="s">
        <v>119</v>
      </c>
      <c r="D50" s="12" t="s">
        <v>142</v>
      </c>
      <c r="E50" s="13" t="s">
        <v>853</v>
      </c>
      <c r="F50" s="13" t="s">
        <v>144</v>
      </c>
      <c r="G50" s="13" t="s">
        <v>854</v>
      </c>
      <c r="H50" s="14" t="s">
        <v>855</v>
      </c>
      <c r="I50" s="14" t="s">
        <v>41</v>
      </c>
      <c r="J50" s="14"/>
    </row>
    <row r="51" customFormat="false" ht="35.05" hidden="false" customHeight="false" outlineLevel="0" collapsed="false">
      <c r="A51" s="12" t="s">
        <v>856</v>
      </c>
      <c r="B51" s="12" t="s">
        <v>97</v>
      </c>
      <c r="C51" s="12" t="s">
        <v>119</v>
      </c>
      <c r="D51" s="12" t="s">
        <v>142</v>
      </c>
      <c r="E51" s="13" t="s">
        <v>857</v>
      </c>
      <c r="F51" s="13" t="s">
        <v>144</v>
      </c>
      <c r="G51" s="13" t="s">
        <v>858</v>
      </c>
      <c r="H51" s="14" t="s">
        <v>208</v>
      </c>
      <c r="I51" s="14" t="s">
        <v>42</v>
      </c>
      <c r="J51" s="14" t="s">
        <v>859</v>
      </c>
    </row>
    <row r="52" customFormat="false" ht="46.25" hidden="false" customHeight="false" outlineLevel="0" collapsed="false">
      <c r="A52" s="12" t="s">
        <v>860</v>
      </c>
      <c r="B52" s="12" t="s">
        <v>97</v>
      </c>
      <c r="C52" s="12" t="s">
        <v>120</v>
      </c>
      <c r="D52" s="12" t="s">
        <v>142</v>
      </c>
      <c r="E52" s="13" t="s">
        <v>861</v>
      </c>
      <c r="F52" s="13" t="s">
        <v>144</v>
      </c>
      <c r="G52" s="13" t="s">
        <v>862</v>
      </c>
      <c r="H52" s="14" t="s">
        <v>863</v>
      </c>
      <c r="I52" s="14" t="s">
        <v>44</v>
      </c>
      <c r="J52" s="14" t="s">
        <v>864</v>
      </c>
    </row>
    <row r="53" customFormat="false" ht="15" hidden="false" customHeight="false" outlineLevel="0" collapsed="false">
      <c r="A53" s="12" t="s">
        <v>860</v>
      </c>
      <c r="B53" s="12" t="s">
        <v>97</v>
      </c>
      <c r="C53" s="12" t="s">
        <v>120</v>
      </c>
      <c r="D53" s="12" t="s">
        <v>164</v>
      </c>
      <c r="E53" s="13" t="s">
        <v>861</v>
      </c>
      <c r="F53" s="13" t="s">
        <v>144</v>
      </c>
      <c r="G53" s="13" t="s">
        <v>387</v>
      </c>
      <c r="H53" s="14" t="s">
        <v>166</v>
      </c>
      <c r="I53" s="14" t="s">
        <v>43</v>
      </c>
      <c r="J53" s="14"/>
    </row>
    <row r="54" customFormat="false" ht="23.85" hidden="false" customHeight="false" outlineLevel="0" collapsed="false">
      <c r="A54" s="12" t="s">
        <v>865</v>
      </c>
      <c r="B54" s="12" t="s">
        <v>97</v>
      </c>
      <c r="C54" s="12" t="s">
        <v>120</v>
      </c>
      <c r="D54" s="12" t="s">
        <v>142</v>
      </c>
      <c r="E54" s="13" t="s">
        <v>866</v>
      </c>
      <c r="F54" s="13" t="s">
        <v>144</v>
      </c>
      <c r="G54" s="13" t="s">
        <v>867</v>
      </c>
      <c r="H54" s="14" t="s">
        <v>868</v>
      </c>
      <c r="I54" s="14" t="s">
        <v>41</v>
      </c>
      <c r="J54" s="14"/>
    </row>
    <row r="55" customFormat="false" ht="46.25" hidden="false" customHeight="false" outlineLevel="0" collapsed="false">
      <c r="A55" s="12" t="s">
        <v>869</v>
      </c>
      <c r="B55" s="12" t="s">
        <v>97</v>
      </c>
      <c r="C55" s="12" t="s">
        <v>120</v>
      </c>
      <c r="D55" s="12" t="s">
        <v>142</v>
      </c>
      <c r="E55" s="13" t="s">
        <v>870</v>
      </c>
      <c r="F55" s="13" t="s">
        <v>144</v>
      </c>
      <c r="G55" s="13" t="s">
        <v>871</v>
      </c>
      <c r="H55" s="14" t="s">
        <v>872</v>
      </c>
      <c r="I55" s="14" t="s">
        <v>41</v>
      </c>
      <c r="J55" s="14"/>
    </row>
    <row r="56" customFormat="false" ht="23.85" hidden="false" customHeight="false" outlineLevel="0" collapsed="false">
      <c r="A56" s="12" t="s">
        <v>873</v>
      </c>
      <c r="B56" s="12" t="s">
        <v>97</v>
      </c>
      <c r="C56" s="12" t="s">
        <v>120</v>
      </c>
      <c r="D56" s="12" t="s">
        <v>142</v>
      </c>
      <c r="E56" s="13" t="s">
        <v>874</v>
      </c>
      <c r="F56" s="13" t="s">
        <v>144</v>
      </c>
      <c r="G56" s="13" t="s">
        <v>875</v>
      </c>
      <c r="H56" s="14" t="s">
        <v>154</v>
      </c>
      <c r="I56" s="14" t="s">
        <v>44</v>
      </c>
      <c r="J56" s="14" t="s">
        <v>876</v>
      </c>
    </row>
    <row r="57" customFormat="false" ht="46.25" hidden="false" customHeight="false" outlineLevel="0" collapsed="false">
      <c r="A57" s="12" t="s">
        <v>877</v>
      </c>
      <c r="B57" s="12" t="s">
        <v>97</v>
      </c>
      <c r="C57" s="12" t="s">
        <v>120</v>
      </c>
      <c r="D57" s="12" t="s">
        <v>142</v>
      </c>
      <c r="E57" s="13" t="s">
        <v>878</v>
      </c>
      <c r="F57" s="13" t="s">
        <v>206</v>
      </c>
      <c r="G57" s="13" t="s">
        <v>879</v>
      </c>
      <c r="H57" s="14" t="s">
        <v>880</v>
      </c>
      <c r="I57" s="14" t="s">
        <v>43</v>
      </c>
      <c r="J57" s="14" t="s">
        <v>334</v>
      </c>
    </row>
    <row r="58" customFormat="false" ht="46.25" hidden="false" customHeight="false" outlineLevel="0" collapsed="false">
      <c r="A58" s="12" t="s">
        <v>881</v>
      </c>
      <c r="B58" s="12" t="s">
        <v>97</v>
      </c>
      <c r="C58" s="12" t="s">
        <v>120</v>
      </c>
      <c r="D58" s="12" t="s">
        <v>142</v>
      </c>
      <c r="E58" s="13" t="s">
        <v>882</v>
      </c>
      <c r="F58" s="13" t="s">
        <v>144</v>
      </c>
      <c r="G58" s="13" t="s">
        <v>883</v>
      </c>
      <c r="H58" s="14" t="s">
        <v>884</v>
      </c>
      <c r="I58" s="14" t="s">
        <v>43</v>
      </c>
      <c r="J58" s="14" t="s">
        <v>885</v>
      </c>
    </row>
    <row r="59" customFormat="false" ht="23.85" hidden="false" customHeight="false" outlineLevel="0" collapsed="false">
      <c r="A59" s="12" t="s">
        <v>881</v>
      </c>
      <c r="B59" s="12" t="s">
        <v>97</v>
      </c>
      <c r="C59" s="12" t="s">
        <v>120</v>
      </c>
      <c r="D59" s="12" t="s">
        <v>164</v>
      </c>
      <c r="E59" s="13" t="s">
        <v>882</v>
      </c>
      <c r="F59" s="13" t="s">
        <v>144</v>
      </c>
      <c r="G59" s="13" t="s">
        <v>886</v>
      </c>
      <c r="H59" s="14" t="s">
        <v>166</v>
      </c>
      <c r="I59" s="14" t="s">
        <v>44</v>
      </c>
      <c r="J59" s="14"/>
    </row>
    <row r="60" customFormat="false" ht="23.85" hidden="false" customHeight="false" outlineLevel="0" collapsed="false">
      <c r="A60" s="12" t="s">
        <v>887</v>
      </c>
      <c r="B60" s="12" t="s">
        <v>97</v>
      </c>
      <c r="C60" s="12" t="s">
        <v>120</v>
      </c>
      <c r="D60" s="12" t="s">
        <v>142</v>
      </c>
      <c r="E60" s="13" t="s">
        <v>888</v>
      </c>
      <c r="F60" s="13" t="s">
        <v>178</v>
      </c>
      <c r="G60" s="13" t="s">
        <v>154</v>
      </c>
      <c r="H60" s="14" t="s">
        <v>154</v>
      </c>
      <c r="I60" s="14" t="s">
        <v>41</v>
      </c>
      <c r="J60" s="14"/>
    </row>
    <row r="61" customFormat="false" ht="57.45" hidden="false" customHeight="false" outlineLevel="0" collapsed="false">
      <c r="A61" s="12" t="s">
        <v>889</v>
      </c>
      <c r="B61" s="12" t="s">
        <v>99</v>
      </c>
      <c r="C61" s="12" t="s">
        <v>119</v>
      </c>
      <c r="D61" s="12" t="s">
        <v>142</v>
      </c>
      <c r="E61" s="13" t="s">
        <v>890</v>
      </c>
      <c r="F61" s="13" t="s">
        <v>144</v>
      </c>
      <c r="G61" s="13" t="s">
        <v>891</v>
      </c>
      <c r="H61" s="14" t="s">
        <v>892</v>
      </c>
      <c r="I61" s="14" t="s">
        <v>43</v>
      </c>
      <c r="J61" s="14" t="s">
        <v>893</v>
      </c>
    </row>
    <row r="62" customFormat="false" ht="23.85" hidden="false" customHeight="false" outlineLevel="0" collapsed="false">
      <c r="A62" s="12" t="s">
        <v>889</v>
      </c>
      <c r="B62" s="12" t="s">
        <v>99</v>
      </c>
      <c r="C62" s="12" t="s">
        <v>119</v>
      </c>
      <c r="D62" s="12" t="s">
        <v>164</v>
      </c>
      <c r="E62" s="13" t="s">
        <v>890</v>
      </c>
      <c r="F62" s="13" t="s">
        <v>144</v>
      </c>
      <c r="G62" s="13" t="s">
        <v>894</v>
      </c>
      <c r="H62" s="14" t="s">
        <v>166</v>
      </c>
      <c r="I62" s="14" t="s">
        <v>43</v>
      </c>
      <c r="J62" s="14"/>
    </row>
    <row r="63" customFormat="false" ht="46.25" hidden="false" customHeight="false" outlineLevel="0" collapsed="false">
      <c r="A63" s="12" t="s">
        <v>895</v>
      </c>
      <c r="B63" s="12" t="s">
        <v>99</v>
      </c>
      <c r="C63" s="12" t="s">
        <v>119</v>
      </c>
      <c r="D63" s="12" t="s">
        <v>142</v>
      </c>
      <c r="E63" s="13" t="s">
        <v>896</v>
      </c>
      <c r="F63" s="13" t="s">
        <v>144</v>
      </c>
      <c r="G63" s="13" t="s">
        <v>897</v>
      </c>
      <c r="H63" s="14" t="s">
        <v>898</v>
      </c>
      <c r="I63" s="14" t="s">
        <v>44</v>
      </c>
      <c r="J63" s="14" t="s">
        <v>899</v>
      </c>
    </row>
    <row r="64" customFormat="false" ht="15" hidden="false" customHeight="false" outlineLevel="0" collapsed="false">
      <c r="A64" s="12" t="s">
        <v>895</v>
      </c>
      <c r="B64" s="12" t="s">
        <v>99</v>
      </c>
      <c r="C64" s="12" t="s">
        <v>119</v>
      </c>
      <c r="D64" s="12" t="s">
        <v>164</v>
      </c>
      <c r="E64" s="13" t="s">
        <v>896</v>
      </c>
      <c r="F64" s="13" t="s">
        <v>144</v>
      </c>
      <c r="G64" s="13" t="s">
        <v>900</v>
      </c>
      <c r="H64" s="14" t="s">
        <v>166</v>
      </c>
      <c r="I64" s="14" t="s">
        <v>44</v>
      </c>
      <c r="J64" s="14"/>
    </row>
    <row r="65" customFormat="false" ht="15" hidden="false" customHeight="false" outlineLevel="0" collapsed="false">
      <c r="A65" s="12" t="s">
        <v>895</v>
      </c>
      <c r="B65" s="12" t="s">
        <v>99</v>
      </c>
      <c r="C65" s="12" t="s">
        <v>119</v>
      </c>
      <c r="D65" s="12" t="s">
        <v>386</v>
      </c>
      <c r="E65" s="13" t="s">
        <v>896</v>
      </c>
      <c r="F65" s="13" t="s">
        <v>144</v>
      </c>
      <c r="G65" s="13" t="s">
        <v>387</v>
      </c>
      <c r="H65" s="14" t="s">
        <v>166</v>
      </c>
      <c r="I65" s="14" t="s">
        <v>43</v>
      </c>
      <c r="J65" s="14"/>
    </row>
    <row r="66" customFormat="false" ht="46.25" hidden="false" customHeight="false" outlineLevel="0" collapsed="false">
      <c r="A66" s="12" t="s">
        <v>901</v>
      </c>
      <c r="B66" s="12" t="s">
        <v>99</v>
      </c>
      <c r="C66" s="12" t="s">
        <v>119</v>
      </c>
      <c r="D66" s="12" t="s">
        <v>142</v>
      </c>
      <c r="E66" s="13" t="s">
        <v>902</v>
      </c>
      <c r="F66" s="13" t="s">
        <v>144</v>
      </c>
      <c r="G66" s="13" t="s">
        <v>903</v>
      </c>
      <c r="H66" s="14" t="s">
        <v>904</v>
      </c>
      <c r="I66" s="14" t="s">
        <v>44</v>
      </c>
      <c r="J66" s="14" t="s">
        <v>905</v>
      </c>
    </row>
    <row r="67" customFormat="false" ht="23.85" hidden="false" customHeight="false" outlineLevel="0" collapsed="false">
      <c r="A67" s="12" t="s">
        <v>901</v>
      </c>
      <c r="B67" s="12" t="s">
        <v>99</v>
      </c>
      <c r="C67" s="12" t="s">
        <v>119</v>
      </c>
      <c r="D67" s="12" t="s">
        <v>164</v>
      </c>
      <c r="E67" s="13" t="s">
        <v>902</v>
      </c>
      <c r="F67" s="13" t="s">
        <v>144</v>
      </c>
      <c r="G67" s="13" t="s">
        <v>906</v>
      </c>
      <c r="H67" s="14" t="s">
        <v>166</v>
      </c>
      <c r="I67" s="14" t="s">
        <v>44</v>
      </c>
      <c r="J67" s="14"/>
    </row>
    <row r="68" customFormat="false" ht="23.85" hidden="false" customHeight="false" outlineLevel="0" collapsed="false">
      <c r="A68" s="12" t="s">
        <v>901</v>
      </c>
      <c r="B68" s="12" t="s">
        <v>99</v>
      </c>
      <c r="C68" s="12" t="s">
        <v>119</v>
      </c>
      <c r="D68" s="12" t="s">
        <v>386</v>
      </c>
      <c r="E68" s="13" t="s">
        <v>902</v>
      </c>
      <c r="F68" s="13" t="s">
        <v>144</v>
      </c>
      <c r="G68" s="13" t="s">
        <v>387</v>
      </c>
      <c r="H68" s="14" t="s">
        <v>166</v>
      </c>
      <c r="I68" s="14" t="s">
        <v>43</v>
      </c>
      <c r="J68" s="14"/>
    </row>
    <row r="69" customFormat="false" ht="35.05" hidden="false" customHeight="false" outlineLevel="0" collapsed="false">
      <c r="A69" s="12" t="s">
        <v>907</v>
      </c>
      <c r="B69" s="12" t="s">
        <v>99</v>
      </c>
      <c r="C69" s="12" t="s">
        <v>119</v>
      </c>
      <c r="D69" s="12" t="s">
        <v>142</v>
      </c>
      <c r="E69" s="13" t="s">
        <v>908</v>
      </c>
      <c r="F69" s="13" t="s">
        <v>144</v>
      </c>
      <c r="G69" s="13" t="s">
        <v>909</v>
      </c>
      <c r="H69" s="14" t="s">
        <v>248</v>
      </c>
      <c r="I69" s="14" t="s">
        <v>44</v>
      </c>
      <c r="J69" s="14" t="s">
        <v>343</v>
      </c>
    </row>
    <row r="70" customFormat="false" ht="15" hidden="false" customHeight="false" outlineLevel="0" collapsed="false">
      <c r="A70" s="12" t="s">
        <v>907</v>
      </c>
      <c r="B70" s="12" t="s">
        <v>99</v>
      </c>
      <c r="C70" s="12" t="s">
        <v>119</v>
      </c>
      <c r="D70" s="12" t="s">
        <v>164</v>
      </c>
      <c r="E70" s="13" t="s">
        <v>908</v>
      </c>
      <c r="F70" s="13" t="s">
        <v>144</v>
      </c>
      <c r="G70" s="13" t="s">
        <v>910</v>
      </c>
      <c r="H70" s="14" t="s">
        <v>166</v>
      </c>
      <c r="I70" s="14" t="s">
        <v>44</v>
      </c>
      <c r="J70" s="14"/>
    </row>
    <row r="71" customFormat="false" ht="57.45" hidden="false" customHeight="false" outlineLevel="0" collapsed="false">
      <c r="A71" s="12" t="s">
        <v>911</v>
      </c>
      <c r="B71" s="12" t="s">
        <v>99</v>
      </c>
      <c r="C71" s="12" t="s">
        <v>119</v>
      </c>
      <c r="D71" s="12" t="s">
        <v>142</v>
      </c>
      <c r="E71" s="13" t="s">
        <v>912</v>
      </c>
      <c r="F71" s="13" t="s">
        <v>144</v>
      </c>
      <c r="G71" s="13" t="s">
        <v>913</v>
      </c>
      <c r="H71" s="14" t="s">
        <v>914</v>
      </c>
      <c r="I71" s="14" t="s">
        <v>43</v>
      </c>
      <c r="J71" s="14" t="s">
        <v>915</v>
      </c>
    </row>
    <row r="72" customFormat="false" ht="23.85" hidden="false" customHeight="false" outlineLevel="0" collapsed="false">
      <c r="A72" s="12" t="s">
        <v>911</v>
      </c>
      <c r="B72" s="12" t="s">
        <v>99</v>
      </c>
      <c r="C72" s="12" t="s">
        <v>119</v>
      </c>
      <c r="D72" s="12" t="s">
        <v>164</v>
      </c>
      <c r="E72" s="13" t="s">
        <v>912</v>
      </c>
      <c r="F72" s="13" t="s">
        <v>144</v>
      </c>
      <c r="G72" s="13" t="s">
        <v>364</v>
      </c>
      <c r="H72" s="14" t="s">
        <v>166</v>
      </c>
      <c r="I72" s="14" t="s">
        <v>41</v>
      </c>
      <c r="J72" s="14"/>
    </row>
    <row r="73" customFormat="false" ht="23.85" hidden="false" customHeight="false" outlineLevel="0" collapsed="false">
      <c r="A73" s="12" t="s">
        <v>916</v>
      </c>
      <c r="B73" s="12" t="s">
        <v>99</v>
      </c>
      <c r="C73" s="12" t="s">
        <v>119</v>
      </c>
      <c r="D73" s="12" t="s">
        <v>142</v>
      </c>
      <c r="E73" s="13" t="s">
        <v>917</v>
      </c>
      <c r="F73" s="13" t="s">
        <v>144</v>
      </c>
      <c r="G73" s="13" t="s">
        <v>918</v>
      </c>
      <c r="H73" s="14" t="s">
        <v>154</v>
      </c>
      <c r="I73" s="14" t="s">
        <v>44</v>
      </c>
      <c r="J73" s="14" t="s">
        <v>919</v>
      </c>
    </row>
    <row r="74" customFormat="false" ht="57.45" hidden="false" customHeight="false" outlineLevel="0" collapsed="false">
      <c r="A74" s="12" t="s">
        <v>920</v>
      </c>
      <c r="B74" s="12" t="s">
        <v>99</v>
      </c>
      <c r="C74" s="12" t="s">
        <v>119</v>
      </c>
      <c r="D74" s="12" t="s">
        <v>142</v>
      </c>
      <c r="E74" s="13" t="s">
        <v>921</v>
      </c>
      <c r="F74" s="13" t="s">
        <v>144</v>
      </c>
      <c r="G74" s="13" t="s">
        <v>922</v>
      </c>
      <c r="H74" s="14" t="s">
        <v>923</v>
      </c>
      <c r="I74" s="14" t="s">
        <v>41</v>
      </c>
      <c r="J74" s="14"/>
    </row>
    <row r="75" customFormat="false" ht="15" hidden="false" customHeight="false" outlineLevel="0" collapsed="false">
      <c r="A75" s="12" t="s">
        <v>920</v>
      </c>
      <c r="B75" s="12" t="s">
        <v>99</v>
      </c>
      <c r="C75" s="12" t="s">
        <v>119</v>
      </c>
      <c r="D75" s="12" t="s">
        <v>164</v>
      </c>
      <c r="E75" s="13" t="s">
        <v>921</v>
      </c>
      <c r="F75" s="13" t="s">
        <v>144</v>
      </c>
      <c r="G75" s="13" t="s">
        <v>924</v>
      </c>
      <c r="H75" s="14" t="s">
        <v>166</v>
      </c>
      <c r="I75" s="14" t="s">
        <v>41</v>
      </c>
      <c r="J75" s="14"/>
    </row>
    <row r="76" customFormat="false" ht="46.25" hidden="false" customHeight="false" outlineLevel="0" collapsed="false">
      <c r="A76" s="12" t="s">
        <v>925</v>
      </c>
      <c r="B76" s="12" t="s">
        <v>99</v>
      </c>
      <c r="C76" s="12" t="s">
        <v>119</v>
      </c>
      <c r="D76" s="12" t="s">
        <v>142</v>
      </c>
      <c r="E76" s="13" t="s">
        <v>926</v>
      </c>
      <c r="F76" s="13" t="s">
        <v>144</v>
      </c>
      <c r="G76" s="13" t="s">
        <v>927</v>
      </c>
      <c r="H76" s="14" t="s">
        <v>928</v>
      </c>
      <c r="I76" s="14" t="s">
        <v>41</v>
      </c>
      <c r="J76" s="14"/>
    </row>
    <row r="77" customFormat="false" ht="15" hidden="false" customHeight="false" outlineLevel="0" collapsed="false">
      <c r="A77" s="12" t="s">
        <v>925</v>
      </c>
      <c r="B77" s="12" t="s">
        <v>99</v>
      </c>
      <c r="C77" s="12" t="s">
        <v>119</v>
      </c>
      <c r="D77" s="12" t="s">
        <v>164</v>
      </c>
      <c r="E77" s="13" t="s">
        <v>926</v>
      </c>
      <c r="F77" s="13" t="s">
        <v>144</v>
      </c>
      <c r="G77" s="13" t="s">
        <v>929</v>
      </c>
      <c r="H77" s="14" t="s">
        <v>166</v>
      </c>
      <c r="I77" s="14" t="s">
        <v>41</v>
      </c>
      <c r="J77" s="14"/>
    </row>
    <row r="78" customFormat="false" ht="46.25" hidden="false" customHeight="false" outlineLevel="0" collapsed="false">
      <c r="A78" s="12" t="s">
        <v>930</v>
      </c>
      <c r="B78" s="12" t="s">
        <v>99</v>
      </c>
      <c r="C78" s="12" t="s">
        <v>120</v>
      </c>
      <c r="D78" s="12" t="s">
        <v>142</v>
      </c>
      <c r="E78" s="13" t="s">
        <v>931</v>
      </c>
      <c r="F78" s="13" t="s">
        <v>144</v>
      </c>
      <c r="G78" s="13" t="s">
        <v>932</v>
      </c>
      <c r="H78" s="14" t="s">
        <v>933</v>
      </c>
      <c r="I78" s="14" t="s">
        <v>41</v>
      </c>
      <c r="J78" s="14"/>
    </row>
    <row r="79" customFormat="false" ht="15" hidden="false" customHeight="false" outlineLevel="0" collapsed="false">
      <c r="A79" s="12" t="s">
        <v>930</v>
      </c>
      <c r="B79" s="12" t="s">
        <v>99</v>
      </c>
      <c r="C79" s="12" t="s">
        <v>120</v>
      </c>
      <c r="D79" s="12" t="s">
        <v>164</v>
      </c>
      <c r="E79" s="13" t="s">
        <v>931</v>
      </c>
      <c r="F79" s="13" t="s">
        <v>144</v>
      </c>
      <c r="G79" s="13" t="s">
        <v>934</v>
      </c>
      <c r="H79" s="14" t="s">
        <v>166</v>
      </c>
      <c r="I79" s="14" t="s">
        <v>41</v>
      </c>
      <c r="J79" s="14"/>
    </row>
    <row r="80" customFormat="false" ht="46.25" hidden="false" customHeight="false" outlineLevel="0" collapsed="false">
      <c r="A80" s="12" t="s">
        <v>935</v>
      </c>
      <c r="B80" s="12" t="s">
        <v>99</v>
      </c>
      <c r="C80" s="12" t="s">
        <v>120</v>
      </c>
      <c r="D80" s="12" t="s">
        <v>142</v>
      </c>
      <c r="E80" s="13" t="s">
        <v>936</v>
      </c>
      <c r="F80" s="13" t="s">
        <v>144</v>
      </c>
      <c r="G80" s="13" t="s">
        <v>937</v>
      </c>
      <c r="H80" s="14" t="s">
        <v>938</v>
      </c>
      <c r="I80" s="14" t="s">
        <v>41</v>
      </c>
      <c r="J80" s="14"/>
    </row>
    <row r="81" customFormat="false" ht="15" hidden="false" customHeight="false" outlineLevel="0" collapsed="false">
      <c r="A81" s="12" t="s">
        <v>935</v>
      </c>
      <c r="B81" s="12" t="s">
        <v>99</v>
      </c>
      <c r="C81" s="12" t="s">
        <v>120</v>
      </c>
      <c r="D81" s="12" t="s">
        <v>164</v>
      </c>
      <c r="E81" s="13" t="s">
        <v>936</v>
      </c>
      <c r="F81" s="13" t="s">
        <v>144</v>
      </c>
      <c r="G81" s="13" t="s">
        <v>939</v>
      </c>
      <c r="H81" s="14" t="s">
        <v>166</v>
      </c>
      <c r="I81" s="14" t="s">
        <v>41</v>
      </c>
      <c r="J81" s="14"/>
    </row>
    <row r="82" customFormat="false" ht="35.05" hidden="false" customHeight="false" outlineLevel="0" collapsed="false">
      <c r="A82" s="12" t="s">
        <v>940</v>
      </c>
      <c r="B82" s="12" t="s">
        <v>99</v>
      </c>
      <c r="C82" s="12" t="s">
        <v>120</v>
      </c>
      <c r="D82" s="12" t="s">
        <v>142</v>
      </c>
      <c r="E82" s="13" t="s">
        <v>941</v>
      </c>
      <c r="F82" s="13" t="s">
        <v>144</v>
      </c>
      <c r="G82" s="13" t="s">
        <v>942</v>
      </c>
      <c r="H82" s="14" t="s">
        <v>248</v>
      </c>
      <c r="I82" s="14" t="s">
        <v>44</v>
      </c>
      <c r="J82" s="14" t="s">
        <v>343</v>
      </c>
    </row>
    <row r="83" customFormat="false" ht="15" hidden="false" customHeight="false" outlineLevel="0" collapsed="false">
      <c r="A83" s="12" t="s">
        <v>940</v>
      </c>
      <c r="B83" s="12" t="s">
        <v>99</v>
      </c>
      <c r="C83" s="12" t="s">
        <v>120</v>
      </c>
      <c r="D83" s="12" t="s">
        <v>164</v>
      </c>
      <c r="E83" s="13" t="s">
        <v>941</v>
      </c>
      <c r="F83" s="13" t="s">
        <v>144</v>
      </c>
      <c r="G83" s="13" t="s">
        <v>943</v>
      </c>
      <c r="H83" s="14" t="s">
        <v>166</v>
      </c>
      <c r="I83" s="14" t="s">
        <v>44</v>
      </c>
      <c r="J83" s="14"/>
    </row>
    <row r="84" customFormat="false" ht="35.05" hidden="false" customHeight="false" outlineLevel="0" collapsed="false">
      <c r="A84" s="12" t="s">
        <v>944</v>
      </c>
      <c r="B84" s="12" t="s">
        <v>99</v>
      </c>
      <c r="C84" s="12" t="s">
        <v>120</v>
      </c>
      <c r="D84" s="12" t="s">
        <v>142</v>
      </c>
      <c r="E84" s="13" t="s">
        <v>945</v>
      </c>
      <c r="F84" s="13" t="s">
        <v>144</v>
      </c>
      <c r="G84" s="13" t="s">
        <v>946</v>
      </c>
      <c r="H84" s="14" t="s">
        <v>947</v>
      </c>
      <c r="I84" s="14" t="s">
        <v>44</v>
      </c>
      <c r="J84" s="14" t="s">
        <v>948</v>
      </c>
    </row>
    <row r="85" customFormat="false" ht="15" hidden="false" customHeight="false" outlineLevel="0" collapsed="false">
      <c r="A85" s="12" t="s">
        <v>944</v>
      </c>
      <c r="B85" s="12" t="s">
        <v>99</v>
      </c>
      <c r="C85" s="12" t="s">
        <v>120</v>
      </c>
      <c r="D85" s="12" t="s">
        <v>164</v>
      </c>
      <c r="E85" s="13" t="s">
        <v>945</v>
      </c>
      <c r="F85" s="13" t="s">
        <v>144</v>
      </c>
      <c r="G85" s="13" t="s">
        <v>387</v>
      </c>
      <c r="H85" s="14" t="s">
        <v>166</v>
      </c>
      <c r="I85" s="14" t="s">
        <v>43</v>
      </c>
      <c r="J85" s="14"/>
    </row>
    <row r="86" customFormat="false" ht="23.85" hidden="false" customHeight="false" outlineLevel="0" collapsed="false">
      <c r="A86" s="12" t="s">
        <v>949</v>
      </c>
      <c r="B86" s="12" t="s">
        <v>99</v>
      </c>
      <c r="C86" s="12" t="s">
        <v>120</v>
      </c>
      <c r="D86" s="12" t="s">
        <v>142</v>
      </c>
      <c r="E86" s="13" t="s">
        <v>950</v>
      </c>
      <c r="F86" s="13" t="s">
        <v>206</v>
      </c>
      <c r="G86" s="13" t="s">
        <v>154</v>
      </c>
      <c r="H86" s="14" t="s">
        <v>208</v>
      </c>
      <c r="I86" s="14" t="s">
        <v>41</v>
      </c>
      <c r="J86" s="14" t="s">
        <v>367</v>
      </c>
    </row>
    <row r="87" customFormat="false" ht="124.6" hidden="false" customHeight="false" outlineLevel="0" collapsed="false">
      <c r="A87" s="12" t="s">
        <v>951</v>
      </c>
      <c r="B87" s="12" t="s">
        <v>99</v>
      </c>
      <c r="C87" s="12" t="s">
        <v>120</v>
      </c>
      <c r="D87" s="12" t="s">
        <v>142</v>
      </c>
      <c r="E87" s="13" t="s">
        <v>952</v>
      </c>
      <c r="F87" s="13" t="s">
        <v>144</v>
      </c>
      <c r="G87" s="13" t="s">
        <v>953</v>
      </c>
      <c r="H87" s="14" t="s">
        <v>954</v>
      </c>
      <c r="I87" s="14" t="s">
        <v>43</v>
      </c>
      <c r="J87" s="14" t="s">
        <v>955</v>
      </c>
    </row>
    <row r="88" customFormat="false" ht="23.85" hidden="false" customHeight="false" outlineLevel="0" collapsed="false">
      <c r="A88" s="12" t="s">
        <v>951</v>
      </c>
      <c r="B88" s="12" t="s">
        <v>99</v>
      </c>
      <c r="C88" s="12" t="s">
        <v>120</v>
      </c>
      <c r="D88" s="12" t="s">
        <v>164</v>
      </c>
      <c r="E88" s="13" t="s">
        <v>952</v>
      </c>
      <c r="F88" s="13" t="s">
        <v>144</v>
      </c>
      <c r="G88" s="13" t="s">
        <v>956</v>
      </c>
      <c r="H88" s="14" t="s">
        <v>166</v>
      </c>
      <c r="I88" s="14" t="s">
        <v>41</v>
      </c>
      <c r="J88" s="14"/>
    </row>
    <row r="89" customFormat="false" ht="23.85" hidden="false" customHeight="false" outlineLevel="0" collapsed="false">
      <c r="A89" s="12" t="s">
        <v>951</v>
      </c>
      <c r="B89" s="12" t="s">
        <v>99</v>
      </c>
      <c r="C89" s="12" t="s">
        <v>120</v>
      </c>
      <c r="D89" s="12" t="s">
        <v>386</v>
      </c>
      <c r="E89" s="13" t="s">
        <v>952</v>
      </c>
      <c r="F89" s="13" t="s">
        <v>144</v>
      </c>
      <c r="G89" s="13" t="s">
        <v>957</v>
      </c>
      <c r="H89" s="14" t="s">
        <v>166</v>
      </c>
      <c r="I89" s="14" t="s">
        <v>41</v>
      </c>
      <c r="J89" s="14"/>
    </row>
    <row r="90" customFormat="false" ht="23.85" hidden="false" customHeight="false" outlineLevel="0" collapsed="false">
      <c r="A90" s="12" t="s">
        <v>951</v>
      </c>
      <c r="B90" s="12" t="s">
        <v>99</v>
      </c>
      <c r="C90" s="12" t="s">
        <v>120</v>
      </c>
      <c r="D90" s="12" t="s">
        <v>409</v>
      </c>
      <c r="E90" s="13" t="s">
        <v>952</v>
      </c>
      <c r="F90" s="13" t="s">
        <v>144</v>
      </c>
      <c r="G90" s="13" t="s">
        <v>407</v>
      </c>
      <c r="H90" s="14" t="s">
        <v>166</v>
      </c>
      <c r="I90" s="14" t="s">
        <v>41</v>
      </c>
      <c r="J90" s="14"/>
    </row>
    <row r="91" customFormat="false" ht="23.85" hidden="false" customHeight="false" outlineLevel="0" collapsed="false">
      <c r="A91" s="12" t="s">
        <v>951</v>
      </c>
      <c r="B91" s="12" t="s">
        <v>99</v>
      </c>
      <c r="C91" s="12" t="s">
        <v>120</v>
      </c>
      <c r="D91" s="12" t="s">
        <v>958</v>
      </c>
      <c r="E91" s="13" t="s">
        <v>952</v>
      </c>
      <c r="F91" s="13" t="s">
        <v>144</v>
      </c>
      <c r="G91" s="13" t="s">
        <v>959</v>
      </c>
      <c r="H91" s="14" t="s">
        <v>166</v>
      </c>
      <c r="I91" s="14" t="s">
        <v>41</v>
      </c>
      <c r="J91" s="14"/>
    </row>
    <row r="92" customFormat="false" ht="23.85" hidden="false" customHeight="false" outlineLevel="0" collapsed="false">
      <c r="A92" s="12" t="s">
        <v>951</v>
      </c>
      <c r="B92" s="12" t="s">
        <v>99</v>
      </c>
      <c r="C92" s="12" t="s">
        <v>120</v>
      </c>
      <c r="D92" s="12" t="s">
        <v>960</v>
      </c>
      <c r="E92" s="13" t="s">
        <v>952</v>
      </c>
      <c r="F92" s="13" t="s">
        <v>144</v>
      </c>
      <c r="G92" s="13" t="s">
        <v>961</v>
      </c>
      <c r="H92" s="14" t="s">
        <v>166</v>
      </c>
      <c r="I92" s="14" t="s">
        <v>41</v>
      </c>
      <c r="J92" s="14"/>
    </row>
    <row r="93" customFormat="false" ht="23.85" hidden="false" customHeight="false" outlineLevel="0" collapsed="false">
      <c r="A93" s="12" t="s">
        <v>962</v>
      </c>
      <c r="B93" s="12" t="s">
        <v>99</v>
      </c>
      <c r="C93" s="12" t="s">
        <v>120</v>
      </c>
      <c r="D93" s="12" t="s">
        <v>142</v>
      </c>
      <c r="E93" s="13" t="s">
        <v>963</v>
      </c>
      <c r="F93" s="13" t="s">
        <v>178</v>
      </c>
      <c r="G93" s="13" t="s">
        <v>154</v>
      </c>
      <c r="H93" s="14" t="s">
        <v>154</v>
      </c>
      <c r="I93" s="14" t="s">
        <v>41</v>
      </c>
      <c r="J93" s="14"/>
    </row>
    <row r="94" customFormat="false" ht="57.45" hidden="false" customHeight="false" outlineLevel="0" collapsed="false">
      <c r="A94" s="12" t="s">
        <v>964</v>
      </c>
      <c r="B94" s="12" t="s">
        <v>101</v>
      </c>
      <c r="C94" s="12" t="s">
        <v>119</v>
      </c>
      <c r="D94" s="12" t="s">
        <v>142</v>
      </c>
      <c r="E94" s="13" t="s">
        <v>965</v>
      </c>
      <c r="F94" s="13" t="s">
        <v>144</v>
      </c>
      <c r="G94" s="13" t="s">
        <v>966</v>
      </c>
      <c r="H94" s="14" t="s">
        <v>967</v>
      </c>
      <c r="I94" s="14" t="s">
        <v>41</v>
      </c>
      <c r="J94" s="14" t="s">
        <v>968</v>
      </c>
    </row>
    <row r="95" customFormat="false" ht="23.85" hidden="false" customHeight="false" outlineLevel="0" collapsed="false">
      <c r="A95" s="12" t="s">
        <v>964</v>
      </c>
      <c r="B95" s="12" t="s">
        <v>101</v>
      </c>
      <c r="C95" s="12" t="s">
        <v>119</v>
      </c>
      <c r="D95" s="12" t="s">
        <v>164</v>
      </c>
      <c r="E95" s="13" t="s">
        <v>965</v>
      </c>
      <c r="F95" s="13" t="s">
        <v>144</v>
      </c>
      <c r="G95" s="13" t="s">
        <v>387</v>
      </c>
      <c r="H95" s="14" t="s">
        <v>166</v>
      </c>
      <c r="I95" s="14" t="s">
        <v>43</v>
      </c>
      <c r="J95" s="14"/>
    </row>
    <row r="96" customFormat="false" ht="35.05" hidden="false" customHeight="false" outlineLevel="0" collapsed="false">
      <c r="A96" s="12" t="s">
        <v>969</v>
      </c>
      <c r="B96" s="12" t="s">
        <v>101</v>
      </c>
      <c r="C96" s="12" t="s">
        <v>119</v>
      </c>
      <c r="D96" s="12" t="s">
        <v>142</v>
      </c>
      <c r="E96" s="13" t="s">
        <v>970</v>
      </c>
      <c r="F96" s="13" t="s">
        <v>144</v>
      </c>
      <c r="G96" s="13" t="s">
        <v>971</v>
      </c>
      <c r="H96" s="14" t="s">
        <v>972</v>
      </c>
      <c r="I96" s="14" t="s">
        <v>41</v>
      </c>
      <c r="J96" s="14"/>
    </row>
    <row r="97" customFormat="false" ht="35.05" hidden="false" customHeight="false" outlineLevel="0" collapsed="false">
      <c r="A97" s="12" t="s">
        <v>973</v>
      </c>
      <c r="B97" s="12" t="s">
        <v>101</v>
      </c>
      <c r="C97" s="12" t="s">
        <v>119</v>
      </c>
      <c r="D97" s="12" t="s">
        <v>142</v>
      </c>
      <c r="E97" s="13" t="s">
        <v>974</v>
      </c>
      <c r="F97" s="13" t="s">
        <v>144</v>
      </c>
      <c r="G97" s="13" t="s">
        <v>975</v>
      </c>
      <c r="H97" s="14" t="s">
        <v>976</v>
      </c>
      <c r="I97" s="14" t="s">
        <v>41</v>
      </c>
      <c r="J97" s="14"/>
    </row>
    <row r="98" customFormat="false" ht="68.65" hidden="false" customHeight="false" outlineLevel="0" collapsed="false">
      <c r="A98" s="12" t="s">
        <v>977</v>
      </c>
      <c r="B98" s="12" t="s">
        <v>101</v>
      </c>
      <c r="C98" s="12" t="s">
        <v>119</v>
      </c>
      <c r="D98" s="12" t="s">
        <v>142</v>
      </c>
      <c r="E98" s="13" t="s">
        <v>978</v>
      </c>
      <c r="F98" s="13" t="s">
        <v>144</v>
      </c>
      <c r="G98" s="13" t="s">
        <v>979</v>
      </c>
      <c r="H98" s="14" t="s">
        <v>980</v>
      </c>
      <c r="I98" s="14" t="s">
        <v>43</v>
      </c>
      <c r="J98" s="14" t="s">
        <v>981</v>
      </c>
    </row>
    <row r="99" customFormat="false" ht="15" hidden="false" customHeight="false" outlineLevel="0" collapsed="false">
      <c r="A99" s="12" t="s">
        <v>977</v>
      </c>
      <c r="B99" s="12" t="s">
        <v>101</v>
      </c>
      <c r="C99" s="12" t="s">
        <v>119</v>
      </c>
      <c r="D99" s="12" t="s">
        <v>164</v>
      </c>
      <c r="E99" s="13" t="s">
        <v>978</v>
      </c>
      <c r="F99" s="13" t="s">
        <v>144</v>
      </c>
      <c r="G99" s="13" t="s">
        <v>387</v>
      </c>
      <c r="H99" s="14" t="s">
        <v>166</v>
      </c>
      <c r="I99" s="14" t="s">
        <v>43</v>
      </c>
      <c r="J99" s="14"/>
    </row>
    <row r="100" customFormat="false" ht="35.05" hidden="false" customHeight="false" outlineLevel="0" collapsed="false">
      <c r="A100" s="12" t="s">
        <v>982</v>
      </c>
      <c r="B100" s="12" t="s">
        <v>101</v>
      </c>
      <c r="C100" s="12" t="s">
        <v>119</v>
      </c>
      <c r="D100" s="12" t="s">
        <v>142</v>
      </c>
      <c r="E100" s="13" t="s">
        <v>983</v>
      </c>
      <c r="F100" s="13" t="s">
        <v>144</v>
      </c>
      <c r="G100" s="13" t="s">
        <v>984</v>
      </c>
      <c r="H100" s="14" t="s">
        <v>208</v>
      </c>
      <c r="I100" s="14" t="s">
        <v>42</v>
      </c>
      <c r="J100" s="14" t="s">
        <v>456</v>
      </c>
    </row>
    <row r="101" customFormat="false" ht="35.05" hidden="false" customHeight="false" outlineLevel="0" collapsed="false">
      <c r="A101" s="12" t="s">
        <v>985</v>
      </c>
      <c r="B101" s="12" t="s">
        <v>101</v>
      </c>
      <c r="C101" s="12" t="s">
        <v>119</v>
      </c>
      <c r="D101" s="12" t="s">
        <v>142</v>
      </c>
      <c r="E101" s="13" t="s">
        <v>986</v>
      </c>
      <c r="F101" s="13" t="s">
        <v>144</v>
      </c>
      <c r="G101" s="13" t="s">
        <v>987</v>
      </c>
      <c r="H101" s="14" t="s">
        <v>988</v>
      </c>
      <c r="I101" s="14" t="s">
        <v>41</v>
      </c>
      <c r="J101" s="14"/>
    </row>
    <row r="102" customFormat="false" ht="35.05" hidden="false" customHeight="false" outlineLevel="0" collapsed="false">
      <c r="A102" s="12" t="s">
        <v>989</v>
      </c>
      <c r="B102" s="12" t="s">
        <v>101</v>
      </c>
      <c r="C102" s="12" t="s">
        <v>119</v>
      </c>
      <c r="D102" s="12" t="s">
        <v>142</v>
      </c>
      <c r="E102" s="13" t="s">
        <v>990</v>
      </c>
      <c r="F102" s="13" t="s">
        <v>144</v>
      </c>
      <c r="G102" s="13" t="s">
        <v>991</v>
      </c>
      <c r="H102" s="14" t="s">
        <v>992</v>
      </c>
      <c r="I102" s="14" t="s">
        <v>41</v>
      </c>
      <c r="J102" s="14"/>
    </row>
    <row r="103" customFormat="false" ht="35.05" hidden="false" customHeight="false" outlineLevel="0" collapsed="false">
      <c r="A103" s="12" t="s">
        <v>993</v>
      </c>
      <c r="B103" s="12" t="s">
        <v>101</v>
      </c>
      <c r="C103" s="12" t="s">
        <v>119</v>
      </c>
      <c r="D103" s="12" t="s">
        <v>142</v>
      </c>
      <c r="E103" s="13" t="s">
        <v>994</v>
      </c>
      <c r="F103" s="13" t="s">
        <v>144</v>
      </c>
      <c r="G103" s="13" t="s">
        <v>995</v>
      </c>
      <c r="H103" s="14" t="s">
        <v>996</v>
      </c>
      <c r="I103" s="14" t="s">
        <v>41</v>
      </c>
      <c r="J103" s="14"/>
    </row>
    <row r="104" customFormat="false" ht="35.05" hidden="false" customHeight="false" outlineLevel="0" collapsed="false">
      <c r="A104" s="12" t="s">
        <v>997</v>
      </c>
      <c r="B104" s="12" t="s">
        <v>101</v>
      </c>
      <c r="C104" s="12" t="s">
        <v>120</v>
      </c>
      <c r="D104" s="12" t="s">
        <v>142</v>
      </c>
      <c r="E104" s="13" t="s">
        <v>998</v>
      </c>
      <c r="F104" s="13" t="s">
        <v>144</v>
      </c>
      <c r="G104" s="13" t="s">
        <v>999</v>
      </c>
      <c r="H104" s="14" t="s">
        <v>1000</v>
      </c>
      <c r="I104" s="14" t="s">
        <v>41</v>
      </c>
      <c r="J104" s="14"/>
    </row>
    <row r="105" customFormat="false" ht="23.85" hidden="false" customHeight="false" outlineLevel="0" collapsed="false">
      <c r="A105" s="12" t="s">
        <v>1001</v>
      </c>
      <c r="B105" s="12" t="s">
        <v>101</v>
      </c>
      <c r="C105" s="12" t="s">
        <v>120</v>
      </c>
      <c r="D105" s="12" t="s">
        <v>142</v>
      </c>
      <c r="E105" s="13" t="s">
        <v>1002</v>
      </c>
      <c r="F105" s="13" t="s">
        <v>144</v>
      </c>
      <c r="G105" s="13" t="s">
        <v>1003</v>
      </c>
      <c r="H105" s="14" t="s">
        <v>1004</v>
      </c>
      <c r="I105" s="14" t="s">
        <v>41</v>
      </c>
      <c r="J105" s="14"/>
    </row>
    <row r="106" customFormat="false" ht="35.05" hidden="false" customHeight="false" outlineLevel="0" collapsed="false">
      <c r="A106" s="12" t="s">
        <v>1005</v>
      </c>
      <c r="B106" s="12" t="s">
        <v>101</v>
      </c>
      <c r="C106" s="12" t="s">
        <v>120</v>
      </c>
      <c r="D106" s="12" t="s">
        <v>142</v>
      </c>
      <c r="E106" s="13" t="s">
        <v>1006</v>
      </c>
      <c r="F106" s="13" t="s">
        <v>144</v>
      </c>
      <c r="G106" s="13" t="s">
        <v>1007</v>
      </c>
      <c r="H106" s="14" t="s">
        <v>1008</v>
      </c>
      <c r="I106" s="14" t="s">
        <v>41</v>
      </c>
      <c r="J106" s="14"/>
    </row>
    <row r="107" customFormat="false" ht="35.05" hidden="false" customHeight="false" outlineLevel="0" collapsed="false">
      <c r="A107" s="12" t="s">
        <v>1009</v>
      </c>
      <c r="B107" s="12" t="s">
        <v>101</v>
      </c>
      <c r="C107" s="12" t="s">
        <v>120</v>
      </c>
      <c r="D107" s="12" t="s">
        <v>142</v>
      </c>
      <c r="E107" s="13" t="s">
        <v>1010</v>
      </c>
      <c r="F107" s="13" t="s">
        <v>144</v>
      </c>
      <c r="G107" s="13" t="s">
        <v>1011</v>
      </c>
      <c r="H107" s="14" t="s">
        <v>248</v>
      </c>
      <c r="I107" s="14" t="s">
        <v>44</v>
      </c>
      <c r="J107" s="14" t="s">
        <v>343</v>
      </c>
    </row>
    <row r="108" customFormat="false" ht="23.85" hidden="false" customHeight="false" outlineLevel="0" collapsed="false">
      <c r="A108" s="12" t="s">
        <v>1009</v>
      </c>
      <c r="B108" s="12" t="s">
        <v>101</v>
      </c>
      <c r="C108" s="12" t="s">
        <v>120</v>
      </c>
      <c r="D108" s="12" t="s">
        <v>164</v>
      </c>
      <c r="E108" s="13" t="s">
        <v>1010</v>
      </c>
      <c r="F108" s="13" t="s">
        <v>144</v>
      </c>
      <c r="G108" s="13" t="s">
        <v>1012</v>
      </c>
      <c r="H108" s="14" t="s">
        <v>166</v>
      </c>
      <c r="I108" s="14" t="s">
        <v>44</v>
      </c>
      <c r="J108" s="14"/>
    </row>
    <row r="109" customFormat="false" ht="23.85" hidden="false" customHeight="false" outlineLevel="0" collapsed="false">
      <c r="A109" s="12" t="s">
        <v>1013</v>
      </c>
      <c r="B109" s="12" t="s">
        <v>101</v>
      </c>
      <c r="C109" s="12" t="s">
        <v>120</v>
      </c>
      <c r="D109" s="12" t="s">
        <v>142</v>
      </c>
      <c r="E109" s="13" t="s">
        <v>1014</v>
      </c>
      <c r="F109" s="13" t="s">
        <v>206</v>
      </c>
      <c r="G109" s="13" t="s">
        <v>154</v>
      </c>
      <c r="H109" s="14" t="s">
        <v>208</v>
      </c>
      <c r="I109" s="14" t="s">
        <v>41</v>
      </c>
      <c r="J109" s="14" t="s">
        <v>1015</v>
      </c>
    </row>
    <row r="110" customFormat="false" ht="57.45" hidden="false" customHeight="false" outlineLevel="0" collapsed="false">
      <c r="A110" s="12" t="s">
        <v>1016</v>
      </c>
      <c r="B110" s="12" t="s">
        <v>101</v>
      </c>
      <c r="C110" s="12" t="s">
        <v>120</v>
      </c>
      <c r="D110" s="12" t="s">
        <v>142</v>
      </c>
      <c r="E110" s="13" t="s">
        <v>1017</v>
      </c>
      <c r="F110" s="13" t="s">
        <v>144</v>
      </c>
      <c r="G110" s="13" t="s">
        <v>1018</v>
      </c>
      <c r="H110" s="14" t="s">
        <v>1019</v>
      </c>
      <c r="I110" s="14" t="s">
        <v>41</v>
      </c>
      <c r="J110" s="14"/>
    </row>
    <row r="111" customFormat="false" ht="23.85" hidden="false" customHeight="false" outlineLevel="0" collapsed="false">
      <c r="A111" s="12" t="s">
        <v>1016</v>
      </c>
      <c r="B111" s="12" t="s">
        <v>101</v>
      </c>
      <c r="C111" s="12" t="s">
        <v>120</v>
      </c>
      <c r="D111" s="12" t="s">
        <v>164</v>
      </c>
      <c r="E111" s="13" t="s">
        <v>1017</v>
      </c>
      <c r="F111" s="13" t="s">
        <v>144</v>
      </c>
      <c r="G111" s="13" t="s">
        <v>1020</v>
      </c>
      <c r="H111" s="14" t="s">
        <v>166</v>
      </c>
      <c r="I111" s="14" t="s">
        <v>41</v>
      </c>
      <c r="J111" s="14"/>
    </row>
    <row r="112" customFormat="false" ht="35.05" hidden="false" customHeight="false" outlineLevel="0" collapsed="false">
      <c r="A112" s="12" t="s">
        <v>1021</v>
      </c>
      <c r="B112" s="12" t="s">
        <v>101</v>
      </c>
      <c r="C112" s="12" t="s">
        <v>120</v>
      </c>
      <c r="D112" s="12" t="s">
        <v>142</v>
      </c>
      <c r="E112" s="13" t="s">
        <v>1022</v>
      </c>
      <c r="F112" s="13" t="s">
        <v>178</v>
      </c>
      <c r="G112" s="13" t="s">
        <v>154</v>
      </c>
      <c r="H112" s="14" t="s">
        <v>1023</v>
      </c>
      <c r="I112" s="14" t="s">
        <v>43</v>
      </c>
      <c r="J112" s="14" t="s">
        <v>444</v>
      </c>
    </row>
    <row r="113" customFormat="false" ht="102.2" hidden="false" customHeight="false" outlineLevel="0" collapsed="false">
      <c r="A113" s="12" t="s">
        <v>1024</v>
      </c>
      <c r="B113" s="12" t="s">
        <v>103</v>
      </c>
      <c r="C113" s="12" t="s">
        <v>119</v>
      </c>
      <c r="D113" s="12" t="s">
        <v>142</v>
      </c>
      <c r="E113" s="13" t="s">
        <v>1025</v>
      </c>
      <c r="F113" s="13" t="s">
        <v>144</v>
      </c>
      <c r="G113" s="13" t="s">
        <v>1026</v>
      </c>
      <c r="H113" s="14" t="s">
        <v>1027</v>
      </c>
      <c r="I113" s="14" t="s">
        <v>41</v>
      </c>
      <c r="J113" s="14"/>
    </row>
    <row r="114" customFormat="false" ht="35.05" hidden="false" customHeight="false" outlineLevel="0" collapsed="false">
      <c r="A114" s="12" t="s">
        <v>1024</v>
      </c>
      <c r="B114" s="12" t="s">
        <v>103</v>
      </c>
      <c r="C114" s="12" t="s">
        <v>119</v>
      </c>
      <c r="D114" s="12" t="s">
        <v>164</v>
      </c>
      <c r="E114" s="13" t="s">
        <v>1025</v>
      </c>
      <c r="F114" s="13" t="s">
        <v>144</v>
      </c>
      <c r="G114" s="13" t="s">
        <v>1028</v>
      </c>
      <c r="H114" s="14" t="s">
        <v>166</v>
      </c>
      <c r="I114" s="14" t="s">
        <v>41</v>
      </c>
      <c r="J114" s="14"/>
    </row>
    <row r="115" customFormat="false" ht="46.25" hidden="false" customHeight="false" outlineLevel="0" collapsed="false">
      <c r="A115" s="12" t="s">
        <v>1029</v>
      </c>
      <c r="B115" s="12" t="s">
        <v>103</v>
      </c>
      <c r="C115" s="12" t="s">
        <v>119</v>
      </c>
      <c r="D115" s="12" t="s">
        <v>142</v>
      </c>
      <c r="E115" s="13" t="s">
        <v>1030</v>
      </c>
      <c r="F115" s="13" t="s">
        <v>144</v>
      </c>
      <c r="G115" s="13" t="s">
        <v>1031</v>
      </c>
      <c r="H115" s="14" t="s">
        <v>1032</v>
      </c>
      <c r="I115" s="14" t="s">
        <v>41</v>
      </c>
      <c r="J115" s="14"/>
    </row>
    <row r="116" customFormat="false" ht="35.05" hidden="false" customHeight="false" outlineLevel="0" collapsed="false">
      <c r="A116" s="12" t="s">
        <v>1033</v>
      </c>
      <c r="B116" s="12" t="s">
        <v>103</v>
      </c>
      <c r="C116" s="12" t="s">
        <v>119</v>
      </c>
      <c r="D116" s="12" t="s">
        <v>142</v>
      </c>
      <c r="E116" s="13" t="s">
        <v>1034</v>
      </c>
      <c r="F116" s="13" t="s">
        <v>144</v>
      </c>
      <c r="G116" s="13" t="s">
        <v>1035</v>
      </c>
      <c r="H116" s="14" t="s">
        <v>1036</v>
      </c>
      <c r="I116" s="14" t="s">
        <v>41</v>
      </c>
      <c r="J116" s="14"/>
    </row>
    <row r="117" customFormat="false" ht="23.85" hidden="false" customHeight="false" outlineLevel="0" collapsed="false">
      <c r="A117" s="12" t="s">
        <v>1037</v>
      </c>
      <c r="B117" s="12" t="s">
        <v>103</v>
      </c>
      <c r="C117" s="12" t="s">
        <v>119</v>
      </c>
      <c r="D117" s="12" t="s">
        <v>142</v>
      </c>
      <c r="E117" s="13" t="s">
        <v>1038</v>
      </c>
      <c r="F117" s="13" t="s">
        <v>144</v>
      </c>
      <c r="G117" s="13" t="s">
        <v>1039</v>
      </c>
      <c r="H117" s="14" t="s">
        <v>248</v>
      </c>
      <c r="I117" s="14" t="s">
        <v>44</v>
      </c>
      <c r="J117" s="14" t="s">
        <v>528</v>
      </c>
    </row>
    <row r="118" customFormat="false" ht="35.05" hidden="false" customHeight="false" outlineLevel="0" collapsed="false">
      <c r="A118" s="12" t="s">
        <v>1040</v>
      </c>
      <c r="B118" s="12" t="s">
        <v>103</v>
      </c>
      <c r="C118" s="12" t="s">
        <v>119</v>
      </c>
      <c r="D118" s="12" t="s">
        <v>142</v>
      </c>
      <c r="E118" s="13" t="s">
        <v>1041</v>
      </c>
      <c r="F118" s="13" t="s">
        <v>144</v>
      </c>
      <c r="G118" s="13" t="s">
        <v>1042</v>
      </c>
      <c r="H118" s="14" t="s">
        <v>1043</v>
      </c>
      <c r="I118" s="14" t="s">
        <v>41</v>
      </c>
      <c r="J118" s="14"/>
    </row>
    <row r="119" customFormat="false" ht="57.45" hidden="false" customHeight="false" outlineLevel="0" collapsed="false">
      <c r="A119" s="12" t="s">
        <v>1044</v>
      </c>
      <c r="B119" s="12" t="s">
        <v>103</v>
      </c>
      <c r="C119" s="12" t="s">
        <v>119</v>
      </c>
      <c r="D119" s="12" t="s">
        <v>142</v>
      </c>
      <c r="E119" s="13" t="s">
        <v>1045</v>
      </c>
      <c r="F119" s="13" t="s">
        <v>144</v>
      </c>
      <c r="G119" s="13" t="s">
        <v>1046</v>
      </c>
      <c r="H119" s="14" t="s">
        <v>1047</v>
      </c>
      <c r="I119" s="14" t="s">
        <v>43</v>
      </c>
      <c r="J119" s="14" t="s">
        <v>1048</v>
      </c>
    </row>
    <row r="120" customFormat="false" ht="57.45" hidden="false" customHeight="false" outlineLevel="0" collapsed="false">
      <c r="A120" s="12" t="s">
        <v>1049</v>
      </c>
      <c r="B120" s="12" t="s">
        <v>103</v>
      </c>
      <c r="C120" s="12" t="s">
        <v>119</v>
      </c>
      <c r="D120" s="12" t="s">
        <v>142</v>
      </c>
      <c r="E120" s="13" t="s">
        <v>1050</v>
      </c>
      <c r="F120" s="13" t="s">
        <v>144</v>
      </c>
      <c r="G120" s="13" t="s">
        <v>1051</v>
      </c>
      <c r="H120" s="14" t="s">
        <v>1052</v>
      </c>
      <c r="I120" s="14" t="s">
        <v>41</v>
      </c>
      <c r="J120" s="14"/>
    </row>
    <row r="121" customFormat="false" ht="35.05" hidden="false" customHeight="false" outlineLevel="0" collapsed="false">
      <c r="A121" s="12" t="s">
        <v>1053</v>
      </c>
      <c r="B121" s="12" t="s">
        <v>103</v>
      </c>
      <c r="C121" s="12" t="s">
        <v>119</v>
      </c>
      <c r="D121" s="12" t="s">
        <v>142</v>
      </c>
      <c r="E121" s="13" t="s">
        <v>1054</v>
      </c>
      <c r="F121" s="13" t="s">
        <v>144</v>
      </c>
      <c r="G121" s="13" t="s">
        <v>1055</v>
      </c>
      <c r="H121" s="14" t="s">
        <v>1056</v>
      </c>
      <c r="I121" s="14" t="s">
        <v>41</v>
      </c>
      <c r="J121" s="14"/>
    </row>
    <row r="122" customFormat="false" ht="57.45" hidden="false" customHeight="false" outlineLevel="0" collapsed="false">
      <c r="A122" s="12" t="s">
        <v>1057</v>
      </c>
      <c r="B122" s="12" t="s">
        <v>103</v>
      </c>
      <c r="C122" s="12" t="s">
        <v>120</v>
      </c>
      <c r="D122" s="12" t="s">
        <v>142</v>
      </c>
      <c r="E122" s="13" t="s">
        <v>1058</v>
      </c>
      <c r="F122" s="13" t="s">
        <v>144</v>
      </c>
      <c r="G122" s="13" t="s">
        <v>1059</v>
      </c>
      <c r="H122" s="14" t="s">
        <v>1060</v>
      </c>
      <c r="I122" s="14" t="s">
        <v>41</v>
      </c>
      <c r="J122" s="14"/>
    </row>
    <row r="123" customFormat="false" ht="35.05" hidden="false" customHeight="false" outlineLevel="0" collapsed="false">
      <c r="A123" s="12" t="s">
        <v>1061</v>
      </c>
      <c r="B123" s="12" t="s">
        <v>103</v>
      </c>
      <c r="C123" s="12" t="s">
        <v>120</v>
      </c>
      <c r="D123" s="12" t="s">
        <v>142</v>
      </c>
      <c r="E123" s="13" t="s">
        <v>1062</v>
      </c>
      <c r="F123" s="13" t="s">
        <v>144</v>
      </c>
      <c r="G123" s="13" t="s">
        <v>1063</v>
      </c>
      <c r="H123" s="14" t="s">
        <v>1064</v>
      </c>
      <c r="I123" s="14" t="s">
        <v>41</v>
      </c>
      <c r="J123" s="14"/>
    </row>
    <row r="124" customFormat="false" ht="35.05" hidden="false" customHeight="false" outlineLevel="0" collapsed="false">
      <c r="A124" s="12" t="s">
        <v>1065</v>
      </c>
      <c r="B124" s="12" t="s">
        <v>103</v>
      </c>
      <c r="C124" s="12" t="s">
        <v>120</v>
      </c>
      <c r="D124" s="12" t="s">
        <v>142</v>
      </c>
      <c r="E124" s="13" t="s">
        <v>1066</v>
      </c>
      <c r="F124" s="13" t="s">
        <v>144</v>
      </c>
      <c r="G124" s="13" t="s">
        <v>1067</v>
      </c>
      <c r="H124" s="14" t="s">
        <v>248</v>
      </c>
      <c r="I124" s="14" t="s">
        <v>44</v>
      </c>
      <c r="J124" s="14" t="s">
        <v>501</v>
      </c>
    </row>
    <row r="125" customFormat="false" ht="57.45" hidden="false" customHeight="false" outlineLevel="0" collapsed="false">
      <c r="A125" s="12" t="s">
        <v>1068</v>
      </c>
      <c r="B125" s="12" t="s">
        <v>103</v>
      </c>
      <c r="C125" s="12" t="s">
        <v>120</v>
      </c>
      <c r="D125" s="12" t="s">
        <v>142</v>
      </c>
      <c r="E125" s="13" t="s">
        <v>1069</v>
      </c>
      <c r="F125" s="13" t="s">
        <v>144</v>
      </c>
      <c r="G125" s="13" t="s">
        <v>1070</v>
      </c>
      <c r="H125" s="14" t="s">
        <v>1071</v>
      </c>
      <c r="I125" s="14" t="s">
        <v>41</v>
      </c>
      <c r="J125" s="14"/>
    </row>
    <row r="126" customFormat="false" ht="23.85" hidden="false" customHeight="false" outlineLevel="0" collapsed="false">
      <c r="A126" s="12" t="s">
        <v>1072</v>
      </c>
      <c r="B126" s="12" t="s">
        <v>103</v>
      </c>
      <c r="C126" s="12" t="s">
        <v>120</v>
      </c>
      <c r="D126" s="12" t="s">
        <v>142</v>
      </c>
      <c r="E126" s="13" t="s">
        <v>1073</v>
      </c>
      <c r="F126" s="13" t="s">
        <v>206</v>
      </c>
      <c r="G126" s="13" t="s">
        <v>154</v>
      </c>
      <c r="H126" s="14" t="s">
        <v>208</v>
      </c>
      <c r="I126" s="14" t="s">
        <v>41</v>
      </c>
      <c r="J126" s="14" t="s">
        <v>531</v>
      </c>
    </row>
    <row r="127" customFormat="false" ht="46.25" hidden="false" customHeight="false" outlineLevel="0" collapsed="false">
      <c r="A127" s="12" t="s">
        <v>1074</v>
      </c>
      <c r="B127" s="12" t="s">
        <v>103</v>
      </c>
      <c r="C127" s="12" t="s">
        <v>120</v>
      </c>
      <c r="D127" s="12" t="s">
        <v>142</v>
      </c>
      <c r="E127" s="13" t="s">
        <v>1075</v>
      </c>
      <c r="F127" s="13" t="s">
        <v>144</v>
      </c>
      <c r="G127" s="13" t="s">
        <v>1076</v>
      </c>
      <c r="H127" s="14" t="s">
        <v>248</v>
      </c>
      <c r="I127" s="14" t="s">
        <v>44</v>
      </c>
      <c r="J127" s="14" t="s">
        <v>1077</v>
      </c>
    </row>
    <row r="128" customFormat="false" ht="23.85" hidden="false" customHeight="false" outlineLevel="0" collapsed="false">
      <c r="A128" s="12" t="s">
        <v>1074</v>
      </c>
      <c r="B128" s="12" t="s">
        <v>103</v>
      </c>
      <c r="C128" s="12" t="s">
        <v>120</v>
      </c>
      <c r="D128" s="12" t="s">
        <v>164</v>
      </c>
      <c r="E128" s="13" t="s">
        <v>1075</v>
      </c>
      <c r="F128" s="13" t="s">
        <v>144</v>
      </c>
      <c r="G128" s="13" t="s">
        <v>515</v>
      </c>
      <c r="H128" s="14" t="s">
        <v>166</v>
      </c>
      <c r="I128" s="14" t="s">
        <v>44</v>
      </c>
      <c r="J128" s="14"/>
    </row>
    <row r="129" customFormat="false" ht="23.85" hidden="false" customHeight="false" outlineLevel="0" collapsed="false">
      <c r="A129" s="12" t="s">
        <v>1074</v>
      </c>
      <c r="B129" s="12" t="s">
        <v>103</v>
      </c>
      <c r="C129" s="12" t="s">
        <v>120</v>
      </c>
      <c r="D129" s="12" t="s">
        <v>386</v>
      </c>
      <c r="E129" s="13" t="s">
        <v>1075</v>
      </c>
      <c r="F129" s="13" t="s">
        <v>144</v>
      </c>
      <c r="G129" s="13" t="s">
        <v>1078</v>
      </c>
      <c r="H129" s="14" t="s">
        <v>166</v>
      </c>
      <c r="I129" s="14" t="s">
        <v>44</v>
      </c>
      <c r="J129" s="14"/>
    </row>
    <row r="130" customFormat="false" ht="23.85" hidden="false" customHeight="false" outlineLevel="0" collapsed="false">
      <c r="A130" s="12" t="s">
        <v>1079</v>
      </c>
      <c r="B130" s="12" t="s">
        <v>103</v>
      </c>
      <c r="C130" s="12" t="s">
        <v>120</v>
      </c>
      <c r="D130" s="12" t="s">
        <v>142</v>
      </c>
      <c r="E130" s="13" t="s">
        <v>1080</v>
      </c>
      <c r="F130" s="13" t="s">
        <v>178</v>
      </c>
      <c r="G130" s="13" t="s">
        <v>154</v>
      </c>
      <c r="H130" s="14" t="s">
        <v>1081</v>
      </c>
      <c r="I130" s="14" t="s">
        <v>43</v>
      </c>
      <c r="J130" s="14" t="s">
        <v>1082</v>
      </c>
    </row>
    <row r="131" customFormat="false" ht="35.05" hidden="false" customHeight="false" outlineLevel="0" collapsed="false">
      <c r="A131" s="12" t="s">
        <v>1083</v>
      </c>
      <c r="B131" s="12" t="s">
        <v>104</v>
      </c>
      <c r="C131" s="12" t="s">
        <v>119</v>
      </c>
      <c r="D131" s="12" t="s">
        <v>142</v>
      </c>
      <c r="E131" s="13" t="s">
        <v>1084</v>
      </c>
      <c r="F131" s="13" t="s">
        <v>144</v>
      </c>
      <c r="G131" s="13" t="s">
        <v>1085</v>
      </c>
      <c r="H131" s="14" t="s">
        <v>1086</v>
      </c>
      <c r="I131" s="14" t="s">
        <v>43</v>
      </c>
      <c r="J131" s="14" t="s">
        <v>1087</v>
      </c>
    </row>
    <row r="132" customFormat="false" ht="23.85" hidden="false" customHeight="false" outlineLevel="0" collapsed="false">
      <c r="A132" s="12" t="s">
        <v>1088</v>
      </c>
      <c r="B132" s="12" t="s">
        <v>104</v>
      </c>
      <c r="C132" s="12" t="s">
        <v>119</v>
      </c>
      <c r="D132" s="12" t="s">
        <v>142</v>
      </c>
      <c r="E132" s="13" t="s">
        <v>1089</v>
      </c>
      <c r="F132" s="13" t="s">
        <v>144</v>
      </c>
      <c r="G132" s="13" t="s">
        <v>1090</v>
      </c>
      <c r="H132" s="14" t="s">
        <v>1091</v>
      </c>
      <c r="I132" s="14" t="s">
        <v>41</v>
      </c>
      <c r="J132" s="14"/>
    </row>
    <row r="133" customFormat="false" ht="57.45" hidden="false" customHeight="false" outlineLevel="0" collapsed="false">
      <c r="A133" s="12" t="s">
        <v>1092</v>
      </c>
      <c r="B133" s="12" t="s">
        <v>104</v>
      </c>
      <c r="C133" s="12" t="s">
        <v>119</v>
      </c>
      <c r="D133" s="12" t="s">
        <v>142</v>
      </c>
      <c r="E133" s="13" t="s">
        <v>1093</v>
      </c>
      <c r="F133" s="13" t="s">
        <v>144</v>
      </c>
      <c r="G133" s="13" t="s">
        <v>1094</v>
      </c>
      <c r="H133" s="14" t="s">
        <v>1095</v>
      </c>
      <c r="I133" s="14" t="s">
        <v>41</v>
      </c>
      <c r="J133" s="14"/>
    </row>
    <row r="134" customFormat="false" ht="23.85" hidden="false" customHeight="false" outlineLevel="0" collapsed="false">
      <c r="A134" s="12" t="s">
        <v>1092</v>
      </c>
      <c r="B134" s="12" t="s">
        <v>104</v>
      </c>
      <c r="C134" s="12" t="s">
        <v>119</v>
      </c>
      <c r="D134" s="12" t="s">
        <v>164</v>
      </c>
      <c r="E134" s="13" t="s">
        <v>1093</v>
      </c>
      <c r="F134" s="13" t="s">
        <v>144</v>
      </c>
      <c r="G134" s="13" t="s">
        <v>1096</v>
      </c>
      <c r="H134" s="14" t="s">
        <v>166</v>
      </c>
      <c r="I134" s="14" t="s">
        <v>41</v>
      </c>
      <c r="J134" s="14"/>
    </row>
    <row r="135" customFormat="false" ht="46.25" hidden="false" customHeight="false" outlineLevel="0" collapsed="false">
      <c r="A135" s="12" t="s">
        <v>1097</v>
      </c>
      <c r="B135" s="12" t="s">
        <v>104</v>
      </c>
      <c r="C135" s="12" t="s">
        <v>119</v>
      </c>
      <c r="D135" s="12" t="s">
        <v>142</v>
      </c>
      <c r="E135" s="13" t="s">
        <v>1098</v>
      </c>
      <c r="F135" s="13" t="s">
        <v>144</v>
      </c>
      <c r="G135" s="13" t="s">
        <v>1099</v>
      </c>
      <c r="H135" s="14" t="s">
        <v>1100</v>
      </c>
      <c r="I135" s="14" t="s">
        <v>44</v>
      </c>
      <c r="J135" s="14" t="s">
        <v>1101</v>
      </c>
    </row>
    <row r="136" customFormat="false" ht="15" hidden="false" customHeight="false" outlineLevel="0" collapsed="false">
      <c r="A136" s="12" t="s">
        <v>1097</v>
      </c>
      <c r="B136" s="12" t="s">
        <v>104</v>
      </c>
      <c r="C136" s="12" t="s">
        <v>119</v>
      </c>
      <c r="D136" s="12" t="s">
        <v>164</v>
      </c>
      <c r="E136" s="13" t="s">
        <v>1098</v>
      </c>
      <c r="F136" s="13" t="s">
        <v>144</v>
      </c>
      <c r="G136" s="13" t="s">
        <v>387</v>
      </c>
      <c r="H136" s="14" t="s">
        <v>166</v>
      </c>
      <c r="I136" s="14" t="s">
        <v>43</v>
      </c>
      <c r="J136" s="14"/>
    </row>
    <row r="137" customFormat="false" ht="23.85" hidden="false" customHeight="false" outlineLevel="0" collapsed="false">
      <c r="A137" s="12" t="s">
        <v>1102</v>
      </c>
      <c r="B137" s="12" t="s">
        <v>104</v>
      </c>
      <c r="C137" s="12" t="s">
        <v>119</v>
      </c>
      <c r="D137" s="12" t="s">
        <v>142</v>
      </c>
      <c r="E137" s="13" t="s">
        <v>1103</v>
      </c>
      <c r="F137" s="13" t="s">
        <v>144</v>
      </c>
      <c r="G137" s="13" t="s">
        <v>1104</v>
      </c>
      <c r="H137" s="14" t="s">
        <v>1105</v>
      </c>
      <c r="I137" s="14" t="s">
        <v>41</v>
      </c>
      <c r="J137" s="14"/>
    </row>
    <row r="138" customFormat="false" ht="35.05" hidden="false" customHeight="false" outlineLevel="0" collapsed="false">
      <c r="A138" s="12" t="s">
        <v>1106</v>
      </c>
      <c r="B138" s="12" t="s">
        <v>104</v>
      </c>
      <c r="C138" s="12" t="s">
        <v>119</v>
      </c>
      <c r="D138" s="12" t="s">
        <v>142</v>
      </c>
      <c r="E138" s="13" t="s">
        <v>1107</v>
      </c>
      <c r="F138" s="13" t="s">
        <v>144</v>
      </c>
      <c r="G138" s="13" t="s">
        <v>1108</v>
      </c>
      <c r="H138" s="14" t="s">
        <v>1109</v>
      </c>
      <c r="I138" s="14" t="s">
        <v>41</v>
      </c>
      <c r="J138" s="14"/>
    </row>
    <row r="139" customFormat="false" ht="46.25" hidden="false" customHeight="false" outlineLevel="0" collapsed="false">
      <c r="A139" s="12" t="s">
        <v>1110</v>
      </c>
      <c r="B139" s="12" t="s">
        <v>104</v>
      </c>
      <c r="C139" s="12" t="s">
        <v>119</v>
      </c>
      <c r="D139" s="12" t="s">
        <v>142</v>
      </c>
      <c r="E139" s="13" t="s">
        <v>1111</v>
      </c>
      <c r="F139" s="13" t="s">
        <v>144</v>
      </c>
      <c r="G139" s="13" t="s">
        <v>1112</v>
      </c>
      <c r="H139" s="14" t="s">
        <v>1113</v>
      </c>
      <c r="I139" s="14" t="s">
        <v>44</v>
      </c>
      <c r="J139" s="14" t="s">
        <v>1114</v>
      </c>
    </row>
    <row r="140" customFormat="false" ht="15" hidden="false" customHeight="false" outlineLevel="0" collapsed="false">
      <c r="A140" s="12" t="s">
        <v>1110</v>
      </c>
      <c r="B140" s="12" t="s">
        <v>104</v>
      </c>
      <c r="C140" s="12" t="s">
        <v>119</v>
      </c>
      <c r="D140" s="12" t="s">
        <v>164</v>
      </c>
      <c r="E140" s="13" t="s">
        <v>1111</v>
      </c>
      <c r="F140" s="13" t="s">
        <v>144</v>
      </c>
      <c r="G140" s="13" t="s">
        <v>387</v>
      </c>
      <c r="H140" s="14" t="s">
        <v>166</v>
      </c>
      <c r="I140" s="14" t="s">
        <v>43</v>
      </c>
      <c r="J140" s="14"/>
    </row>
    <row r="141" customFormat="false" ht="23.85" hidden="false" customHeight="false" outlineLevel="0" collapsed="false">
      <c r="A141" s="12" t="s">
        <v>1115</v>
      </c>
      <c r="B141" s="12" t="s">
        <v>104</v>
      </c>
      <c r="C141" s="12" t="s">
        <v>119</v>
      </c>
      <c r="D141" s="12" t="s">
        <v>142</v>
      </c>
      <c r="E141" s="13" t="s">
        <v>1116</v>
      </c>
      <c r="F141" s="13" t="s">
        <v>144</v>
      </c>
      <c r="G141" s="13" t="s">
        <v>1117</v>
      </c>
      <c r="H141" s="14" t="s">
        <v>1118</v>
      </c>
      <c r="I141" s="14" t="s">
        <v>41</v>
      </c>
      <c r="J141" s="14"/>
    </row>
    <row r="142" customFormat="false" ht="23.85" hidden="false" customHeight="false" outlineLevel="0" collapsed="false">
      <c r="A142" s="12" t="s">
        <v>1119</v>
      </c>
      <c r="B142" s="12" t="s">
        <v>104</v>
      </c>
      <c r="C142" s="12" t="s">
        <v>120</v>
      </c>
      <c r="D142" s="12" t="s">
        <v>142</v>
      </c>
      <c r="E142" s="13" t="s">
        <v>1120</v>
      </c>
      <c r="F142" s="13" t="s">
        <v>144</v>
      </c>
      <c r="G142" s="13" t="s">
        <v>1121</v>
      </c>
      <c r="H142" s="14" t="s">
        <v>1122</v>
      </c>
      <c r="I142" s="14" t="s">
        <v>41</v>
      </c>
      <c r="J142" s="14"/>
    </row>
    <row r="143" customFormat="false" ht="46.25" hidden="false" customHeight="false" outlineLevel="0" collapsed="false">
      <c r="A143" s="12" t="s">
        <v>1123</v>
      </c>
      <c r="B143" s="12" t="s">
        <v>104</v>
      </c>
      <c r="C143" s="12" t="s">
        <v>120</v>
      </c>
      <c r="D143" s="12" t="s">
        <v>142</v>
      </c>
      <c r="E143" s="13" t="s">
        <v>1124</v>
      </c>
      <c r="F143" s="13" t="s">
        <v>144</v>
      </c>
      <c r="G143" s="13" t="s">
        <v>1125</v>
      </c>
      <c r="H143" s="14" t="s">
        <v>1126</v>
      </c>
      <c r="I143" s="14" t="s">
        <v>44</v>
      </c>
      <c r="J143" s="14" t="s">
        <v>1127</v>
      </c>
    </row>
    <row r="144" customFormat="false" ht="15" hidden="false" customHeight="false" outlineLevel="0" collapsed="false">
      <c r="A144" s="12" t="s">
        <v>1123</v>
      </c>
      <c r="B144" s="12" t="s">
        <v>104</v>
      </c>
      <c r="C144" s="12" t="s">
        <v>120</v>
      </c>
      <c r="D144" s="12" t="s">
        <v>164</v>
      </c>
      <c r="E144" s="13" t="s">
        <v>1124</v>
      </c>
      <c r="F144" s="13" t="s">
        <v>144</v>
      </c>
      <c r="G144" s="13" t="s">
        <v>387</v>
      </c>
      <c r="H144" s="14" t="s">
        <v>166</v>
      </c>
      <c r="I144" s="14" t="s">
        <v>43</v>
      </c>
      <c r="J144" s="14"/>
    </row>
    <row r="145" customFormat="false" ht="35.05" hidden="false" customHeight="false" outlineLevel="0" collapsed="false">
      <c r="A145" s="12" t="s">
        <v>1128</v>
      </c>
      <c r="B145" s="12" t="s">
        <v>104</v>
      </c>
      <c r="C145" s="12" t="s">
        <v>120</v>
      </c>
      <c r="D145" s="12" t="s">
        <v>142</v>
      </c>
      <c r="E145" s="13" t="s">
        <v>1129</v>
      </c>
      <c r="F145" s="13" t="s">
        <v>144</v>
      </c>
      <c r="G145" s="13" t="s">
        <v>1130</v>
      </c>
      <c r="H145" s="14" t="s">
        <v>208</v>
      </c>
      <c r="I145" s="14" t="s">
        <v>42</v>
      </c>
      <c r="J145" s="14" t="s">
        <v>1131</v>
      </c>
    </row>
    <row r="146" customFormat="false" ht="35.05" hidden="false" customHeight="false" outlineLevel="0" collapsed="false">
      <c r="A146" s="12" t="s">
        <v>1132</v>
      </c>
      <c r="B146" s="12" t="s">
        <v>104</v>
      </c>
      <c r="C146" s="12" t="s">
        <v>120</v>
      </c>
      <c r="D146" s="12" t="s">
        <v>142</v>
      </c>
      <c r="E146" s="13" t="s">
        <v>1133</v>
      </c>
      <c r="F146" s="13" t="s">
        <v>144</v>
      </c>
      <c r="G146" s="13" t="s">
        <v>1134</v>
      </c>
      <c r="H146" s="14" t="s">
        <v>1135</v>
      </c>
      <c r="I146" s="14" t="s">
        <v>44</v>
      </c>
      <c r="J146" s="14" t="s">
        <v>1136</v>
      </c>
    </row>
    <row r="147" customFormat="false" ht="15" hidden="false" customHeight="false" outlineLevel="0" collapsed="false">
      <c r="A147" s="12" t="s">
        <v>1132</v>
      </c>
      <c r="B147" s="12" t="s">
        <v>104</v>
      </c>
      <c r="C147" s="12" t="s">
        <v>120</v>
      </c>
      <c r="D147" s="12" t="s">
        <v>164</v>
      </c>
      <c r="E147" s="13" t="s">
        <v>1133</v>
      </c>
      <c r="F147" s="13" t="s">
        <v>144</v>
      </c>
      <c r="G147" s="13" t="s">
        <v>387</v>
      </c>
      <c r="H147" s="14" t="s">
        <v>166</v>
      </c>
      <c r="I147" s="14" t="s">
        <v>43</v>
      </c>
      <c r="J147" s="14"/>
    </row>
    <row r="148" customFormat="false" ht="15" hidden="false" customHeight="false" outlineLevel="0" collapsed="false">
      <c r="A148" s="12" t="s">
        <v>1137</v>
      </c>
      <c r="B148" s="12" t="s">
        <v>104</v>
      </c>
      <c r="C148" s="12" t="s">
        <v>120</v>
      </c>
      <c r="D148" s="12" t="s">
        <v>142</v>
      </c>
      <c r="E148" s="13" t="s">
        <v>1138</v>
      </c>
      <c r="F148" s="13" t="s">
        <v>206</v>
      </c>
      <c r="G148" s="13" t="s">
        <v>154</v>
      </c>
      <c r="H148" s="14" t="s">
        <v>154</v>
      </c>
      <c r="I148" s="14" t="s">
        <v>44</v>
      </c>
      <c r="J148" s="14" t="s">
        <v>471</v>
      </c>
    </row>
    <row r="149" customFormat="false" ht="68.65" hidden="false" customHeight="false" outlineLevel="0" collapsed="false">
      <c r="A149" s="12" t="s">
        <v>1139</v>
      </c>
      <c r="B149" s="12" t="s">
        <v>104</v>
      </c>
      <c r="C149" s="12" t="s">
        <v>120</v>
      </c>
      <c r="D149" s="12" t="s">
        <v>142</v>
      </c>
      <c r="E149" s="13" t="s">
        <v>1140</v>
      </c>
      <c r="F149" s="13" t="s">
        <v>144</v>
      </c>
      <c r="G149" s="13" t="s">
        <v>1141</v>
      </c>
      <c r="H149" s="14" t="s">
        <v>1142</v>
      </c>
      <c r="I149" s="14" t="s">
        <v>41</v>
      </c>
      <c r="J149" s="14"/>
    </row>
    <row r="150" customFormat="false" ht="23.85" hidden="false" customHeight="false" outlineLevel="0" collapsed="false">
      <c r="A150" s="12" t="s">
        <v>1139</v>
      </c>
      <c r="B150" s="12" t="s">
        <v>104</v>
      </c>
      <c r="C150" s="12" t="s">
        <v>120</v>
      </c>
      <c r="D150" s="12" t="s">
        <v>164</v>
      </c>
      <c r="E150" s="13" t="s">
        <v>1140</v>
      </c>
      <c r="F150" s="13" t="s">
        <v>144</v>
      </c>
      <c r="G150" s="13" t="s">
        <v>1143</v>
      </c>
      <c r="H150" s="14" t="s">
        <v>166</v>
      </c>
      <c r="I150" s="14" t="s">
        <v>41</v>
      </c>
      <c r="J150" s="14"/>
    </row>
    <row r="151" customFormat="false" ht="23.85" hidden="false" customHeight="false" outlineLevel="0" collapsed="false">
      <c r="A151" s="12" t="s">
        <v>1139</v>
      </c>
      <c r="B151" s="12" t="s">
        <v>104</v>
      </c>
      <c r="C151" s="12" t="s">
        <v>120</v>
      </c>
      <c r="D151" s="12" t="s">
        <v>386</v>
      </c>
      <c r="E151" s="13" t="s">
        <v>1140</v>
      </c>
      <c r="F151" s="13" t="s">
        <v>144</v>
      </c>
      <c r="G151" s="13" t="s">
        <v>1144</v>
      </c>
      <c r="H151" s="14" t="s">
        <v>166</v>
      </c>
      <c r="I151" s="14" t="s">
        <v>41</v>
      </c>
      <c r="J151" s="14"/>
    </row>
    <row r="152" customFormat="false" ht="23.85" hidden="false" customHeight="false" outlineLevel="0" collapsed="false">
      <c r="A152" s="12" t="s">
        <v>1145</v>
      </c>
      <c r="B152" s="12" t="s">
        <v>104</v>
      </c>
      <c r="C152" s="12" t="s">
        <v>120</v>
      </c>
      <c r="D152" s="12" t="s">
        <v>142</v>
      </c>
      <c r="E152" s="13" t="s">
        <v>1146</v>
      </c>
      <c r="F152" s="13" t="s">
        <v>178</v>
      </c>
      <c r="G152" s="13" t="s">
        <v>154</v>
      </c>
      <c r="H152" s="14" t="s">
        <v>154</v>
      </c>
      <c r="I152" s="14" t="s">
        <v>41</v>
      </c>
      <c r="J152" s="14"/>
    </row>
    <row r="153" customFormat="false" ht="23.85" hidden="false" customHeight="false" outlineLevel="0" collapsed="false">
      <c r="A153" s="12" t="s">
        <v>1147</v>
      </c>
      <c r="B153" s="12" t="s">
        <v>105</v>
      </c>
      <c r="C153" s="12" t="s">
        <v>591</v>
      </c>
      <c r="D153" s="12" t="s">
        <v>142</v>
      </c>
      <c r="E153" s="13" t="s">
        <v>1148</v>
      </c>
      <c r="F153" s="13" t="s">
        <v>593</v>
      </c>
      <c r="G153" s="13" t="s">
        <v>1149</v>
      </c>
      <c r="H153" s="14" t="s">
        <v>1150</v>
      </c>
      <c r="I153" s="14" t="s">
        <v>41</v>
      </c>
      <c r="J153" s="14"/>
    </row>
    <row r="154" customFormat="false" ht="23.85" hidden="false" customHeight="false" outlineLevel="0" collapsed="false">
      <c r="A154" s="12" t="s">
        <v>1151</v>
      </c>
      <c r="B154" s="12" t="s">
        <v>105</v>
      </c>
      <c r="C154" s="12" t="s">
        <v>591</v>
      </c>
      <c r="D154" s="12" t="s">
        <v>142</v>
      </c>
      <c r="E154" s="13" t="s">
        <v>1152</v>
      </c>
      <c r="F154" s="13" t="s">
        <v>593</v>
      </c>
      <c r="G154" s="13" t="s">
        <v>1153</v>
      </c>
      <c r="H154" s="14" t="s">
        <v>1154</v>
      </c>
      <c r="I154" s="14" t="s">
        <v>43</v>
      </c>
      <c r="J154" s="14" t="s">
        <v>1155</v>
      </c>
    </row>
    <row r="155" customFormat="false" ht="23.85" hidden="false" customHeight="false" outlineLevel="0" collapsed="false">
      <c r="A155" s="12" t="s">
        <v>1156</v>
      </c>
      <c r="B155" s="12" t="s">
        <v>105</v>
      </c>
      <c r="C155" s="12" t="s">
        <v>591</v>
      </c>
      <c r="D155" s="12" t="s">
        <v>142</v>
      </c>
      <c r="E155" s="13" t="s">
        <v>1157</v>
      </c>
      <c r="F155" s="13" t="s">
        <v>593</v>
      </c>
      <c r="G155" s="13" t="s">
        <v>625</v>
      </c>
      <c r="H155" s="14" t="s">
        <v>626</v>
      </c>
      <c r="I155" s="14" t="s">
        <v>41</v>
      </c>
      <c r="J155" s="14"/>
    </row>
    <row r="156" customFormat="false" ht="23.85" hidden="false" customHeight="false" outlineLevel="0" collapsed="false">
      <c r="A156" s="12" t="s">
        <v>1158</v>
      </c>
      <c r="B156" s="12" t="s">
        <v>105</v>
      </c>
      <c r="C156" s="12" t="s">
        <v>591</v>
      </c>
      <c r="D156" s="12" t="s">
        <v>142</v>
      </c>
      <c r="E156" s="13" t="s">
        <v>1159</v>
      </c>
      <c r="F156" s="13" t="s">
        <v>593</v>
      </c>
      <c r="G156" s="13" t="s">
        <v>1160</v>
      </c>
      <c r="H156" s="14" t="s">
        <v>1161</v>
      </c>
      <c r="I156" s="14" t="s">
        <v>43</v>
      </c>
      <c r="J156" s="14" t="s">
        <v>1162</v>
      </c>
    </row>
    <row r="157" customFormat="false" ht="35.05" hidden="false" customHeight="false" outlineLevel="0" collapsed="false">
      <c r="A157" s="12" t="s">
        <v>1163</v>
      </c>
      <c r="B157" s="12" t="s">
        <v>105</v>
      </c>
      <c r="C157" s="12" t="s">
        <v>591</v>
      </c>
      <c r="D157" s="12" t="s">
        <v>142</v>
      </c>
      <c r="E157" s="13" t="s">
        <v>1164</v>
      </c>
      <c r="F157" s="13" t="s">
        <v>593</v>
      </c>
      <c r="G157" s="13" t="s">
        <v>1165</v>
      </c>
      <c r="H157" s="14" t="s">
        <v>1166</v>
      </c>
      <c r="I157" s="14" t="s">
        <v>41</v>
      </c>
      <c r="J157" s="14"/>
    </row>
    <row r="158" customFormat="false" ht="35.05" hidden="false" customHeight="false" outlineLevel="0" collapsed="false">
      <c r="A158" s="12" t="s">
        <v>1167</v>
      </c>
      <c r="B158" s="12" t="s">
        <v>105</v>
      </c>
      <c r="C158" s="12" t="s">
        <v>591</v>
      </c>
      <c r="D158" s="12" t="s">
        <v>142</v>
      </c>
      <c r="E158" s="13" t="s">
        <v>1168</v>
      </c>
      <c r="F158" s="13" t="s">
        <v>593</v>
      </c>
      <c r="G158" s="13" t="s">
        <v>1169</v>
      </c>
      <c r="H158" s="14" t="s">
        <v>1170</v>
      </c>
      <c r="I158" s="14" t="s">
        <v>43</v>
      </c>
      <c r="J158" s="14" t="s">
        <v>1171</v>
      </c>
    </row>
    <row r="159" customFormat="false" ht="35.05" hidden="false" customHeight="false" outlineLevel="0" collapsed="false">
      <c r="A159" s="12" t="s">
        <v>1172</v>
      </c>
      <c r="B159" s="12" t="s">
        <v>105</v>
      </c>
      <c r="C159" s="12" t="s">
        <v>591</v>
      </c>
      <c r="D159" s="12" t="s">
        <v>142</v>
      </c>
      <c r="E159" s="13" t="s">
        <v>1173</v>
      </c>
      <c r="F159" s="13" t="s">
        <v>593</v>
      </c>
      <c r="G159" s="13" t="s">
        <v>1174</v>
      </c>
      <c r="H159" s="14" t="s">
        <v>1175</v>
      </c>
      <c r="I159" s="14" t="s">
        <v>41</v>
      </c>
      <c r="J159" s="14"/>
    </row>
    <row r="160" customFormat="false" ht="15" hidden="false" customHeight="false" outlineLevel="0" collapsed="false">
      <c r="A160" s="12" t="s">
        <v>1176</v>
      </c>
      <c r="B160" s="12" t="s">
        <v>105</v>
      </c>
      <c r="C160" s="12" t="s">
        <v>591</v>
      </c>
      <c r="D160" s="12" t="s">
        <v>142</v>
      </c>
      <c r="E160" s="13" t="s">
        <v>1177</v>
      </c>
      <c r="F160" s="13" t="s">
        <v>593</v>
      </c>
      <c r="G160" s="13" t="s">
        <v>1178</v>
      </c>
      <c r="H160" s="14" t="s">
        <v>1179</v>
      </c>
      <c r="I160" s="14" t="s">
        <v>41</v>
      </c>
      <c r="J160" s="14"/>
    </row>
    <row r="161" customFormat="false" ht="23.85" hidden="false" customHeight="false" outlineLevel="0" collapsed="false">
      <c r="A161" s="12" t="s">
        <v>1180</v>
      </c>
      <c r="B161" s="12" t="s">
        <v>105</v>
      </c>
      <c r="C161" s="12" t="s">
        <v>591</v>
      </c>
      <c r="D161" s="12" t="s">
        <v>142</v>
      </c>
      <c r="E161" s="13" t="s">
        <v>1181</v>
      </c>
      <c r="F161" s="13" t="s">
        <v>144</v>
      </c>
      <c r="G161" s="13" t="s">
        <v>612</v>
      </c>
      <c r="H161" s="14" t="s">
        <v>613</v>
      </c>
      <c r="I161" s="14" t="s">
        <v>41</v>
      </c>
      <c r="J161" s="14"/>
    </row>
    <row r="162" customFormat="false" ht="23.85" hidden="false" customHeight="false" outlineLevel="0" collapsed="false">
      <c r="A162" s="12" t="s">
        <v>1182</v>
      </c>
      <c r="B162" s="12" t="s">
        <v>105</v>
      </c>
      <c r="C162" s="12" t="s">
        <v>591</v>
      </c>
      <c r="D162" s="12" t="s">
        <v>142</v>
      </c>
      <c r="E162" s="13" t="s">
        <v>1183</v>
      </c>
      <c r="F162" s="13" t="s">
        <v>144</v>
      </c>
      <c r="G162" s="13" t="s">
        <v>612</v>
      </c>
      <c r="H162" s="14" t="s">
        <v>613</v>
      </c>
      <c r="I162" s="14" t="s">
        <v>41</v>
      </c>
      <c r="J162" s="14"/>
    </row>
    <row r="163" customFormat="false" ht="23.85" hidden="false" customHeight="false" outlineLevel="0" collapsed="false">
      <c r="A163" s="12" t="s">
        <v>1184</v>
      </c>
      <c r="B163" s="12" t="s">
        <v>107</v>
      </c>
      <c r="C163" s="12" t="s">
        <v>591</v>
      </c>
      <c r="D163" s="12" t="s">
        <v>142</v>
      </c>
      <c r="E163" s="13" t="s">
        <v>1185</v>
      </c>
      <c r="F163" s="13" t="s">
        <v>634</v>
      </c>
      <c r="G163" s="13" t="s">
        <v>1186</v>
      </c>
      <c r="H163" s="14" t="s">
        <v>1187</v>
      </c>
      <c r="I163" s="14" t="s">
        <v>41</v>
      </c>
      <c r="J163" s="14"/>
    </row>
    <row r="164" customFormat="false" ht="23.85" hidden="false" customHeight="false" outlineLevel="0" collapsed="false">
      <c r="A164" s="12" t="s">
        <v>1188</v>
      </c>
      <c r="B164" s="12" t="s">
        <v>107</v>
      </c>
      <c r="C164" s="12" t="s">
        <v>591</v>
      </c>
      <c r="D164" s="12" t="s">
        <v>142</v>
      </c>
      <c r="E164" s="13" t="s">
        <v>1189</v>
      </c>
      <c r="F164" s="13" t="s">
        <v>634</v>
      </c>
      <c r="G164" s="13" t="s">
        <v>1190</v>
      </c>
      <c r="H164" s="14" t="s">
        <v>1191</v>
      </c>
      <c r="I164" s="14" t="s">
        <v>41</v>
      </c>
      <c r="J164" s="14"/>
    </row>
    <row r="165" customFormat="false" ht="23.85" hidden="false" customHeight="false" outlineLevel="0" collapsed="false">
      <c r="A165" s="12" t="s">
        <v>1192</v>
      </c>
      <c r="B165" s="12" t="s">
        <v>107</v>
      </c>
      <c r="C165" s="12" t="s">
        <v>591</v>
      </c>
      <c r="D165" s="12" t="s">
        <v>142</v>
      </c>
      <c r="E165" s="13" t="s">
        <v>1193</v>
      </c>
      <c r="F165" s="13" t="s">
        <v>634</v>
      </c>
      <c r="G165" s="13" t="s">
        <v>1194</v>
      </c>
      <c r="H165" s="14" t="s">
        <v>649</v>
      </c>
      <c r="I165" s="14" t="s">
        <v>41</v>
      </c>
      <c r="J165" s="14"/>
    </row>
    <row r="166" customFormat="false" ht="23.85" hidden="false" customHeight="false" outlineLevel="0" collapsed="false">
      <c r="A166" s="12" t="s">
        <v>1195</v>
      </c>
      <c r="B166" s="12" t="s">
        <v>107</v>
      </c>
      <c r="C166" s="12" t="s">
        <v>591</v>
      </c>
      <c r="D166" s="12" t="s">
        <v>142</v>
      </c>
      <c r="E166" s="13" t="s">
        <v>1196</v>
      </c>
      <c r="F166" s="13" t="s">
        <v>634</v>
      </c>
      <c r="G166" s="13" t="s">
        <v>644</v>
      </c>
      <c r="H166" s="14" t="s">
        <v>645</v>
      </c>
      <c r="I166" s="14" t="s">
        <v>41</v>
      </c>
      <c r="J166" s="14"/>
    </row>
    <row r="167" customFormat="false" ht="23.85" hidden="false" customHeight="false" outlineLevel="0" collapsed="false">
      <c r="A167" s="12" t="s">
        <v>1197</v>
      </c>
      <c r="B167" s="12" t="s">
        <v>107</v>
      </c>
      <c r="C167" s="12" t="s">
        <v>591</v>
      </c>
      <c r="D167" s="12" t="s">
        <v>142</v>
      </c>
      <c r="E167" s="13" t="s">
        <v>1198</v>
      </c>
      <c r="F167" s="13" t="s">
        <v>634</v>
      </c>
      <c r="G167" s="13" t="s">
        <v>1199</v>
      </c>
      <c r="H167" s="14" t="s">
        <v>1200</v>
      </c>
      <c r="I167" s="14" t="s">
        <v>41</v>
      </c>
      <c r="J167" s="14"/>
    </row>
    <row r="168" customFormat="false" ht="35.05" hidden="false" customHeight="false" outlineLevel="0" collapsed="false">
      <c r="A168" s="12" t="s">
        <v>1201</v>
      </c>
      <c r="B168" s="12" t="s">
        <v>107</v>
      </c>
      <c r="C168" s="12" t="s">
        <v>591</v>
      </c>
      <c r="D168" s="12" t="s">
        <v>142</v>
      </c>
      <c r="E168" s="13" t="s">
        <v>1202</v>
      </c>
      <c r="F168" s="13" t="s">
        <v>634</v>
      </c>
      <c r="G168" s="13" t="s">
        <v>1203</v>
      </c>
      <c r="H168" s="14" t="s">
        <v>1204</v>
      </c>
      <c r="I168" s="14" t="s">
        <v>41</v>
      </c>
      <c r="J168" s="14"/>
    </row>
    <row r="169" customFormat="false" ht="35.05" hidden="false" customHeight="false" outlineLevel="0" collapsed="false">
      <c r="A169" s="12" t="s">
        <v>1205</v>
      </c>
      <c r="B169" s="12" t="s">
        <v>107</v>
      </c>
      <c r="C169" s="12" t="s">
        <v>591</v>
      </c>
      <c r="D169" s="12" t="s">
        <v>142</v>
      </c>
      <c r="E169" s="13" t="s">
        <v>1206</v>
      </c>
      <c r="F169" s="13" t="s">
        <v>634</v>
      </c>
      <c r="G169" s="13" t="s">
        <v>1207</v>
      </c>
      <c r="H169" s="14" t="s">
        <v>1208</v>
      </c>
      <c r="I169" s="14" t="s">
        <v>41</v>
      </c>
      <c r="J169" s="14"/>
    </row>
    <row r="170" customFormat="false" ht="35.05" hidden="false" customHeight="false" outlineLevel="0" collapsed="false">
      <c r="A170" s="12" t="s">
        <v>1209</v>
      </c>
      <c r="B170" s="12" t="s">
        <v>107</v>
      </c>
      <c r="C170" s="12" t="s">
        <v>591</v>
      </c>
      <c r="D170" s="12" t="s">
        <v>142</v>
      </c>
      <c r="E170" s="13" t="s">
        <v>1210</v>
      </c>
      <c r="F170" s="13" t="s">
        <v>144</v>
      </c>
      <c r="G170" s="13" t="s">
        <v>1211</v>
      </c>
      <c r="H170" s="14" t="s">
        <v>645</v>
      </c>
      <c r="I170" s="14" t="s">
        <v>43</v>
      </c>
      <c r="J170" s="14" t="s">
        <v>1212</v>
      </c>
    </row>
    <row r="171" customFormat="false" ht="35.05" hidden="false" customHeight="false" outlineLevel="0" collapsed="false">
      <c r="A171" s="12" t="s">
        <v>1213</v>
      </c>
      <c r="B171" s="12" t="s">
        <v>107</v>
      </c>
      <c r="C171" s="12" t="s">
        <v>591</v>
      </c>
      <c r="D171" s="12" t="s">
        <v>142</v>
      </c>
      <c r="E171" s="13" t="s">
        <v>1214</v>
      </c>
      <c r="F171" s="13" t="s">
        <v>144</v>
      </c>
      <c r="G171" s="13" t="s">
        <v>1215</v>
      </c>
      <c r="H171" s="14" t="s">
        <v>1216</v>
      </c>
      <c r="I171" s="14" t="s">
        <v>41</v>
      </c>
      <c r="J171" s="14"/>
    </row>
    <row r="172" customFormat="false" ht="35.05" hidden="false" customHeight="false" outlineLevel="0" collapsed="false">
      <c r="A172" s="12" t="s">
        <v>1217</v>
      </c>
      <c r="B172" s="12" t="s">
        <v>107</v>
      </c>
      <c r="C172" s="12" t="s">
        <v>591</v>
      </c>
      <c r="D172" s="12" t="s">
        <v>142</v>
      </c>
      <c r="E172" s="13" t="s">
        <v>1218</v>
      </c>
      <c r="F172" s="13" t="s">
        <v>144</v>
      </c>
      <c r="G172" s="13" t="s">
        <v>1219</v>
      </c>
      <c r="H172" s="14" t="s">
        <v>1220</v>
      </c>
      <c r="I172" s="14" t="s">
        <v>41</v>
      </c>
      <c r="J172" s="14"/>
    </row>
    <row r="173" customFormat="false" ht="23.85" hidden="false" customHeight="false" outlineLevel="0" collapsed="false">
      <c r="A173" s="12" t="s">
        <v>1221</v>
      </c>
      <c r="B173" s="12" t="s">
        <v>109</v>
      </c>
      <c r="C173" s="12" t="s">
        <v>591</v>
      </c>
      <c r="D173" s="12" t="s">
        <v>142</v>
      </c>
      <c r="E173" s="13" t="s">
        <v>1222</v>
      </c>
      <c r="F173" s="13" t="s">
        <v>677</v>
      </c>
      <c r="G173" s="13" t="s">
        <v>678</v>
      </c>
      <c r="H173" s="14" t="s">
        <v>678</v>
      </c>
      <c r="I173" s="14" t="s">
        <v>41</v>
      </c>
      <c r="J173" s="14"/>
    </row>
    <row r="174" customFormat="false" ht="23.85" hidden="false" customHeight="false" outlineLevel="0" collapsed="false">
      <c r="A174" s="12" t="s">
        <v>1223</v>
      </c>
      <c r="B174" s="12" t="s">
        <v>109</v>
      </c>
      <c r="C174" s="12" t="s">
        <v>591</v>
      </c>
      <c r="D174" s="12" t="s">
        <v>142</v>
      </c>
      <c r="E174" s="13" t="s">
        <v>1224</v>
      </c>
      <c r="F174" s="13" t="s">
        <v>677</v>
      </c>
      <c r="G174" s="13" t="s">
        <v>678</v>
      </c>
      <c r="H174" s="14" t="s">
        <v>678</v>
      </c>
      <c r="I174" s="14" t="s">
        <v>41</v>
      </c>
      <c r="J174" s="14"/>
    </row>
    <row r="175" customFormat="false" ht="23.85" hidden="false" customHeight="false" outlineLevel="0" collapsed="false">
      <c r="A175" s="12" t="s">
        <v>1225</v>
      </c>
      <c r="B175" s="12" t="s">
        <v>109</v>
      </c>
      <c r="C175" s="12" t="s">
        <v>591</v>
      </c>
      <c r="D175" s="12" t="s">
        <v>142</v>
      </c>
      <c r="E175" s="13" t="s">
        <v>1226</v>
      </c>
      <c r="F175" s="13" t="s">
        <v>677</v>
      </c>
      <c r="G175" s="13" t="s">
        <v>678</v>
      </c>
      <c r="H175" s="14" t="s">
        <v>678</v>
      </c>
      <c r="I175" s="14" t="s">
        <v>41</v>
      </c>
      <c r="J175" s="14"/>
    </row>
    <row r="176" customFormat="false" ht="23.85" hidden="false" customHeight="false" outlineLevel="0" collapsed="false">
      <c r="A176" s="12" t="s">
        <v>1227</v>
      </c>
      <c r="B176" s="12" t="s">
        <v>109</v>
      </c>
      <c r="C176" s="12" t="s">
        <v>591</v>
      </c>
      <c r="D176" s="12" t="s">
        <v>142</v>
      </c>
      <c r="E176" s="13" t="s">
        <v>1228</v>
      </c>
      <c r="F176" s="13" t="s">
        <v>677</v>
      </c>
      <c r="G176" s="13" t="s">
        <v>678</v>
      </c>
      <c r="H176" s="14" t="s">
        <v>678</v>
      </c>
      <c r="I176" s="14" t="s">
        <v>41</v>
      </c>
      <c r="J176" s="14"/>
    </row>
    <row r="177" customFormat="false" ht="23.85" hidden="false" customHeight="false" outlineLevel="0" collapsed="false">
      <c r="A177" s="12" t="s">
        <v>1229</v>
      </c>
      <c r="B177" s="12" t="s">
        <v>109</v>
      </c>
      <c r="C177" s="12" t="s">
        <v>591</v>
      </c>
      <c r="D177" s="12" t="s">
        <v>142</v>
      </c>
      <c r="E177" s="13" t="s">
        <v>1230</v>
      </c>
      <c r="F177" s="13" t="s">
        <v>677</v>
      </c>
      <c r="G177" s="13" t="s">
        <v>678</v>
      </c>
      <c r="H177" s="14" t="s">
        <v>678</v>
      </c>
      <c r="I177" s="14" t="s">
        <v>41</v>
      </c>
      <c r="J177" s="14"/>
    </row>
    <row r="178" customFormat="false" ht="15" hidden="false" customHeight="false" outlineLevel="0" collapsed="false">
      <c r="A178" s="12" t="s">
        <v>1231</v>
      </c>
      <c r="B178" s="12" t="s">
        <v>109</v>
      </c>
      <c r="C178" s="12" t="s">
        <v>591</v>
      </c>
      <c r="D178" s="12" t="s">
        <v>142</v>
      </c>
      <c r="E178" s="13" t="s">
        <v>1232</v>
      </c>
      <c r="F178" s="13" t="s">
        <v>686</v>
      </c>
      <c r="G178" s="13" t="s">
        <v>613</v>
      </c>
      <c r="H178" s="14" t="s">
        <v>613</v>
      </c>
      <c r="I178" s="14" t="s">
        <v>41</v>
      </c>
      <c r="J178" s="14"/>
    </row>
    <row r="179" customFormat="false" ht="23.85" hidden="false" customHeight="false" outlineLevel="0" collapsed="false">
      <c r="A179" s="12" t="s">
        <v>1233</v>
      </c>
      <c r="B179" s="12" t="s">
        <v>109</v>
      </c>
      <c r="C179" s="12" t="s">
        <v>591</v>
      </c>
      <c r="D179" s="12" t="s">
        <v>142</v>
      </c>
      <c r="E179" s="13" t="s">
        <v>1234</v>
      </c>
      <c r="F179" s="13" t="s">
        <v>686</v>
      </c>
      <c r="G179" s="13" t="s">
        <v>613</v>
      </c>
      <c r="H179" s="14" t="s">
        <v>613</v>
      </c>
      <c r="I179" s="14" t="s">
        <v>41</v>
      </c>
      <c r="J179" s="14"/>
    </row>
    <row r="180" customFormat="false" ht="23.85" hidden="false" customHeight="false" outlineLevel="0" collapsed="false">
      <c r="A180" s="12" t="s">
        <v>1235</v>
      </c>
      <c r="B180" s="12" t="s">
        <v>109</v>
      </c>
      <c r="C180" s="12" t="s">
        <v>591</v>
      </c>
      <c r="D180" s="12" t="s">
        <v>142</v>
      </c>
      <c r="E180" s="13" t="s">
        <v>1236</v>
      </c>
      <c r="F180" s="13" t="s">
        <v>686</v>
      </c>
      <c r="G180" s="13" t="s">
        <v>613</v>
      </c>
      <c r="H180" s="14" t="s">
        <v>613</v>
      </c>
      <c r="I180" s="14" t="s">
        <v>41</v>
      </c>
      <c r="J180" s="14"/>
    </row>
    <row r="181" customFormat="false" ht="23.85" hidden="false" customHeight="false" outlineLevel="0" collapsed="false">
      <c r="A181" s="12" t="s">
        <v>1237</v>
      </c>
      <c r="B181" s="12" t="s">
        <v>109</v>
      </c>
      <c r="C181" s="12" t="s">
        <v>591</v>
      </c>
      <c r="D181" s="12" t="s">
        <v>142</v>
      </c>
      <c r="E181" s="13" t="s">
        <v>1238</v>
      </c>
      <c r="F181" s="13" t="s">
        <v>689</v>
      </c>
      <c r="G181" s="13" t="s">
        <v>690</v>
      </c>
      <c r="H181" s="14" t="s">
        <v>690</v>
      </c>
      <c r="I181" s="14" t="s">
        <v>41</v>
      </c>
      <c r="J181" s="14"/>
    </row>
    <row r="182" customFormat="false" ht="23.85" hidden="false" customHeight="false" outlineLevel="0" collapsed="false">
      <c r="A182" s="12" t="s">
        <v>1239</v>
      </c>
      <c r="B182" s="12" t="s">
        <v>109</v>
      </c>
      <c r="C182" s="12" t="s">
        <v>591</v>
      </c>
      <c r="D182" s="12" t="s">
        <v>142</v>
      </c>
      <c r="E182" s="13" t="s">
        <v>1240</v>
      </c>
      <c r="F182" s="13" t="s">
        <v>686</v>
      </c>
      <c r="G182" s="13" t="s">
        <v>613</v>
      </c>
      <c r="H182" s="14" t="s">
        <v>613</v>
      </c>
      <c r="I182" s="14" t="s">
        <v>41</v>
      </c>
      <c r="J182" s="14"/>
    </row>
  </sheetData>
  <conditionalFormatting sqref="I5:I182">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6" min="15" style="0" width="12"/>
    <col collapsed="false" customWidth="true" hidden="false" outlineLevel="0" max="17" min="17" style="0" width="38"/>
    <col collapsed="false" customWidth="true" hidden="false" outlineLevel="0" max="18" min="18" style="0" width="12"/>
    <col collapsed="false" customWidth="true" hidden="false" outlineLevel="0" max="19" min="19" style="0" width="34"/>
    <col collapsed="false" customWidth="true" hidden="false" outlineLevel="0" max="20" min="20" style="0" width="8"/>
  </cols>
  <sheetData>
    <row r="1" customFormat="false" ht="17.35" hidden="false" customHeight="false" outlineLevel="0" collapsed="false">
      <c r="A1" s="1" t="s">
        <v>1241</v>
      </c>
    </row>
    <row r="2" customFormat="false" ht="15" hidden="false" customHeight="false" outlineLevel="0" collapsed="false">
      <c r="A2" s="2" t="s">
        <v>1242</v>
      </c>
    </row>
    <row r="3" customFormat="false" ht="15" hidden="false" customHeight="false" outlineLevel="0" collapsed="false">
      <c r="A3" s="2" t="s">
        <v>1243</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1254</v>
      </c>
      <c r="P4" s="8" t="s">
        <v>1255</v>
      </c>
      <c r="Q4" s="8" t="s">
        <v>1256</v>
      </c>
      <c r="R4" s="8" t="s">
        <v>1257</v>
      </c>
      <c r="S4" s="8" t="s">
        <v>1258</v>
      </c>
      <c r="T4" s="8" t="s">
        <v>1259</v>
      </c>
    </row>
    <row r="5" customFormat="false" ht="35.05" hidden="false" customHeight="false" outlineLevel="0" collapsed="false">
      <c r="A5" s="12" t="s">
        <v>1260</v>
      </c>
      <c r="B5" s="12" t="s">
        <v>45</v>
      </c>
      <c r="C5" s="12" t="s">
        <v>142</v>
      </c>
      <c r="D5" s="13" t="s">
        <v>1261</v>
      </c>
      <c r="E5" s="13" t="s">
        <v>1262</v>
      </c>
      <c r="F5" s="13" t="s">
        <v>1263</v>
      </c>
      <c r="G5" s="13" t="s">
        <v>144</v>
      </c>
      <c r="H5" s="13" t="s">
        <v>93</v>
      </c>
      <c r="I5" s="13" t="s">
        <v>1264</v>
      </c>
      <c r="J5" s="13" t="s">
        <v>1265</v>
      </c>
      <c r="K5" s="13" t="s">
        <v>1266</v>
      </c>
      <c r="L5" s="14" t="s">
        <v>1267</v>
      </c>
      <c r="M5" s="14" t="s">
        <v>41</v>
      </c>
      <c r="N5" s="14"/>
      <c r="O5" s="14" t="s">
        <v>41</v>
      </c>
      <c r="P5" s="14" t="s">
        <v>41</v>
      </c>
      <c r="Q5" s="14" t="s">
        <v>1268</v>
      </c>
      <c r="R5" s="14" t="s">
        <v>41</v>
      </c>
      <c r="S5" s="14"/>
      <c r="T5" s="14" t="s">
        <v>1269</v>
      </c>
    </row>
    <row r="6" customFormat="false" ht="35.05" hidden="false" customHeight="false" outlineLevel="0" collapsed="false">
      <c r="A6" s="12" t="s">
        <v>1270</v>
      </c>
      <c r="B6" s="12" t="s">
        <v>45</v>
      </c>
      <c r="C6" s="12" t="s">
        <v>142</v>
      </c>
      <c r="D6" s="13" t="s">
        <v>1271</v>
      </c>
      <c r="E6" s="13" t="s">
        <v>1272</v>
      </c>
      <c r="F6" s="13" t="s">
        <v>1273</v>
      </c>
      <c r="G6" s="13" t="s">
        <v>144</v>
      </c>
      <c r="H6" s="13" t="s">
        <v>93</v>
      </c>
      <c r="I6" s="13" t="s">
        <v>1274</v>
      </c>
      <c r="J6" s="13" t="s">
        <v>1275</v>
      </c>
      <c r="K6" s="13" t="s">
        <v>1276</v>
      </c>
      <c r="L6" s="14" t="s">
        <v>1277</v>
      </c>
      <c r="M6" s="14" t="s">
        <v>44</v>
      </c>
      <c r="N6" s="14" t="s">
        <v>1278</v>
      </c>
      <c r="O6" s="14" t="s">
        <v>44</v>
      </c>
      <c r="P6" s="14" t="s">
        <v>44</v>
      </c>
      <c r="Q6" s="14" t="s">
        <v>1279</v>
      </c>
      <c r="R6" s="14" t="s">
        <v>41</v>
      </c>
      <c r="S6" s="14"/>
      <c r="T6" s="14" t="s">
        <v>1269</v>
      </c>
    </row>
    <row r="7" customFormat="false" ht="35.05" hidden="false" customHeight="false" outlineLevel="0" collapsed="false">
      <c r="A7" s="12" t="s">
        <v>1280</v>
      </c>
      <c r="B7" s="12" t="s">
        <v>45</v>
      </c>
      <c r="C7" s="12" t="s">
        <v>142</v>
      </c>
      <c r="D7" s="13" t="s">
        <v>1281</v>
      </c>
      <c r="E7" s="13" t="s">
        <v>1282</v>
      </c>
      <c r="F7" s="13" t="s">
        <v>1283</v>
      </c>
      <c r="G7" s="13" t="s">
        <v>144</v>
      </c>
      <c r="H7" s="13" t="s">
        <v>93</v>
      </c>
      <c r="I7" s="13" t="s">
        <v>1264</v>
      </c>
      <c r="J7" s="13" t="s">
        <v>1284</v>
      </c>
      <c r="K7" s="13" t="s">
        <v>1285</v>
      </c>
      <c r="L7" s="14" t="s">
        <v>1286</v>
      </c>
      <c r="M7" s="14" t="s">
        <v>41</v>
      </c>
      <c r="N7" s="14"/>
      <c r="O7" s="14" t="s">
        <v>41</v>
      </c>
      <c r="P7" s="14" t="s">
        <v>41</v>
      </c>
      <c r="Q7" s="14" t="s">
        <v>1287</v>
      </c>
      <c r="R7" s="14" t="s">
        <v>41</v>
      </c>
      <c r="S7" s="14"/>
      <c r="T7" s="14" t="s">
        <v>1269</v>
      </c>
    </row>
    <row r="8" customFormat="false" ht="35.05" hidden="false" customHeight="false" outlineLevel="0" collapsed="false">
      <c r="A8" s="12" t="s">
        <v>1288</v>
      </c>
      <c r="B8" s="12" t="s">
        <v>45</v>
      </c>
      <c r="C8" s="12" t="s">
        <v>142</v>
      </c>
      <c r="D8" s="13" t="s">
        <v>1289</v>
      </c>
      <c r="E8" s="13" t="s">
        <v>1290</v>
      </c>
      <c r="F8" s="13" t="s">
        <v>1291</v>
      </c>
      <c r="G8" s="13" t="s">
        <v>144</v>
      </c>
      <c r="H8" s="13" t="s">
        <v>93</v>
      </c>
      <c r="I8" s="13" t="s">
        <v>1274</v>
      </c>
      <c r="J8" s="13" t="s">
        <v>1292</v>
      </c>
      <c r="K8" s="13" t="s">
        <v>1293</v>
      </c>
      <c r="L8" s="14" t="s">
        <v>1294</v>
      </c>
      <c r="M8" s="14" t="s">
        <v>44</v>
      </c>
      <c r="N8" s="14" t="s">
        <v>1295</v>
      </c>
      <c r="O8" s="14" t="s">
        <v>44</v>
      </c>
      <c r="P8" s="14" t="s">
        <v>44</v>
      </c>
      <c r="Q8" s="14" t="s">
        <v>1296</v>
      </c>
      <c r="R8" s="14" t="s">
        <v>41</v>
      </c>
      <c r="S8" s="14"/>
      <c r="T8" s="14" t="s">
        <v>1269</v>
      </c>
    </row>
    <row r="9" customFormat="false" ht="35.05" hidden="false" customHeight="false" outlineLevel="0" collapsed="false">
      <c r="A9" s="12" t="s">
        <v>1297</v>
      </c>
      <c r="B9" s="12" t="s">
        <v>45</v>
      </c>
      <c r="C9" s="12" t="s">
        <v>142</v>
      </c>
      <c r="D9" s="13" t="s">
        <v>1298</v>
      </c>
      <c r="E9" s="13" t="s">
        <v>1299</v>
      </c>
      <c r="F9" s="13" t="s">
        <v>1300</v>
      </c>
      <c r="G9" s="13" t="s">
        <v>144</v>
      </c>
      <c r="H9" s="13" t="s">
        <v>93</v>
      </c>
      <c r="I9" s="13" t="s">
        <v>1264</v>
      </c>
      <c r="J9" s="13" t="s">
        <v>1301</v>
      </c>
      <c r="K9" s="13" t="s">
        <v>1302</v>
      </c>
      <c r="L9" s="14" t="s">
        <v>1303</v>
      </c>
      <c r="M9" s="14" t="s">
        <v>41</v>
      </c>
      <c r="N9" s="14"/>
      <c r="O9" s="14" t="s">
        <v>41</v>
      </c>
      <c r="P9" s="14" t="s">
        <v>41</v>
      </c>
      <c r="Q9" s="14" t="s">
        <v>1304</v>
      </c>
      <c r="R9" s="14" t="s">
        <v>41</v>
      </c>
      <c r="S9" s="14"/>
      <c r="T9" s="14" t="s">
        <v>1269</v>
      </c>
    </row>
    <row r="10" customFormat="false" ht="35.05" hidden="false" customHeight="false" outlineLevel="0" collapsed="false">
      <c r="A10" s="12" t="s">
        <v>1305</v>
      </c>
      <c r="B10" s="12" t="s">
        <v>45</v>
      </c>
      <c r="C10" s="12" t="s">
        <v>142</v>
      </c>
      <c r="D10" s="13" t="s">
        <v>1306</v>
      </c>
      <c r="E10" s="13" t="s">
        <v>1307</v>
      </c>
      <c r="F10" s="13" t="s">
        <v>1308</v>
      </c>
      <c r="G10" s="13" t="s">
        <v>144</v>
      </c>
      <c r="H10" s="13" t="s">
        <v>93</v>
      </c>
      <c r="I10" s="13" t="s">
        <v>1274</v>
      </c>
      <c r="J10" s="13" t="s">
        <v>1309</v>
      </c>
      <c r="K10" s="13" t="s">
        <v>1310</v>
      </c>
      <c r="L10" s="14" t="s">
        <v>1294</v>
      </c>
      <c r="M10" s="14" t="s">
        <v>44</v>
      </c>
      <c r="N10" s="14" t="s">
        <v>1295</v>
      </c>
      <c r="O10" s="14" t="s">
        <v>44</v>
      </c>
      <c r="P10" s="14" t="s">
        <v>44</v>
      </c>
      <c r="Q10" s="14" t="s">
        <v>1311</v>
      </c>
      <c r="R10" s="14" t="s">
        <v>41</v>
      </c>
      <c r="S10" s="14"/>
      <c r="T10" s="14" t="s">
        <v>1269</v>
      </c>
    </row>
    <row r="11" customFormat="false" ht="35.05" hidden="false" customHeight="false" outlineLevel="0" collapsed="false">
      <c r="A11" s="12" t="s">
        <v>1312</v>
      </c>
      <c r="B11" s="12" t="s">
        <v>45</v>
      </c>
      <c r="C11" s="12" t="s">
        <v>142</v>
      </c>
      <c r="D11" s="13" t="s">
        <v>1313</v>
      </c>
      <c r="E11" s="13" t="s">
        <v>1314</v>
      </c>
      <c r="F11" s="13" t="s">
        <v>1315</v>
      </c>
      <c r="G11" s="13" t="s">
        <v>144</v>
      </c>
      <c r="H11" s="13" t="s">
        <v>93</v>
      </c>
      <c r="I11" s="13" t="s">
        <v>1264</v>
      </c>
      <c r="J11" s="13" t="s">
        <v>1316</v>
      </c>
      <c r="K11" s="13" t="s">
        <v>1317</v>
      </c>
      <c r="L11" s="14" t="s">
        <v>1318</v>
      </c>
      <c r="M11" s="14" t="s">
        <v>41</v>
      </c>
      <c r="N11" s="14"/>
      <c r="O11" s="14" t="s">
        <v>41</v>
      </c>
      <c r="P11" s="14" t="s">
        <v>41</v>
      </c>
      <c r="Q11" s="14" t="s">
        <v>1319</v>
      </c>
      <c r="R11" s="14" t="s">
        <v>41</v>
      </c>
      <c r="S11" s="14"/>
      <c r="T11" s="14" t="s">
        <v>1269</v>
      </c>
    </row>
    <row r="12" customFormat="false" ht="23.85" hidden="false" customHeight="false" outlineLevel="0" collapsed="false">
      <c r="A12" s="12" t="s">
        <v>1320</v>
      </c>
      <c r="B12" s="12" t="s">
        <v>45</v>
      </c>
      <c r="C12" s="12" t="s">
        <v>142</v>
      </c>
      <c r="D12" s="13" t="s">
        <v>1321</v>
      </c>
      <c r="E12" s="13" t="s">
        <v>1322</v>
      </c>
      <c r="F12" s="13" t="s">
        <v>1323</v>
      </c>
      <c r="G12" s="13" t="s">
        <v>144</v>
      </c>
      <c r="H12" s="13" t="s">
        <v>93</v>
      </c>
      <c r="I12" s="13" t="s">
        <v>1274</v>
      </c>
      <c r="J12" s="13" t="s">
        <v>1324</v>
      </c>
      <c r="K12" s="13" t="s">
        <v>1325</v>
      </c>
      <c r="L12" s="14" t="s">
        <v>1277</v>
      </c>
      <c r="M12" s="14" t="s">
        <v>44</v>
      </c>
      <c r="N12" s="14" t="s">
        <v>1326</v>
      </c>
      <c r="O12" s="14" t="s">
        <v>41</v>
      </c>
      <c r="P12" s="14" t="s">
        <v>41</v>
      </c>
      <c r="Q12" s="14" t="s">
        <v>1327</v>
      </c>
      <c r="R12" s="14" t="s">
        <v>41</v>
      </c>
      <c r="S12" s="14"/>
      <c r="T12" s="14" t="s">
        <v>1269</v>
      </c>
    </row>
    <row r="13" customFormat="false" ht="46.25" hidden="false" customHeight="false" outlineLevel="0" collapsed="false">
      <c r="A13" s="12" t="s">
        <v>1328</v>
      </c>
      <c r="B13" s="12" t="s">
        <v>45</v>
      </c>
      <c r="C13" s="12" t="s">
        <v>142</v>
      </c>
      <c r="D13" s="13" t="s">
        <v>1329</v>
      </c>
      <c r="E13" s="13" t="s">
        <v>1330</v>
      </c>
      <c r="F13" s="13" t="s">
        <v>1331</v>
      </c>
      <c r="G13" s="13" t="s">
        <v>144</v>
      </c>
      <c r="H13" s="13" t="s">
        <v>93</v>
      </c>
      <c r="I13" s="13" t="s">
        <v>1264</v>
      </c>
      <c r="J13" s="13" t="s">
        <v>1332</v>
      </c>
      <c r="K13" s="13" t="s">
        <v>1333</v>
      </c>
      <c r="L13" s="14" t="s">
        <v>1334</v>
      </c>
      <c r="M13" s="14" t="s">
        <v>44</v>
      </c>
      <c r="N13" s="14" t="s">
        <v>1335</v>
      </c>
      <c r="O13" s="14" t="s">
        <v>44</v>
      </c>
      <c r="P13" s="14" t="s">
        <v>43</v>
      </c>
      <c r="Q13" s="14" t="s">
        <v>1336</v>
      </c>
      <c r="R13" s="14" t="s">
        <v>41</v>
      </c>
      <c r="S13" s="14"/>
      <c r="T13" s="14" t="s">
        <v>1269</v>
      </c>
    </row>
    <row r="14" customFormat="false" ht="46.25" hidden="false" customHeight="false" outlineLevel="0" collapsed="false">
      <c r="A14" s="12" t="s">
        <v>1337</v>
      </c>
      <c r="B14" s="12" t="s">
        <v>45</v>
      </c>
      <c r="C14" s="12" t="s">
        <v>142</v>
      </c>
      <c r="D14" s="13" t="s">
        <v>1338</v>
      </c>
      <c r="E14" s="13" t="s">
        <v>1339</v>
      </c>
      <c r="F14" s="13" t="s">
        <v>1340</v>
      </c>
      <c r="G14" s="13" t="s">
        <v>144</v>
      </c>
      <c r="H14" s="13" t="s">
        <v>93</v>
      </c>
      <c r="I14" s="13" t="s">
        <v>1264</v>
      </c>
      <c r="J14" s="13" t="s">
        <v>1341</v>
      </c>
      <c r="K14" s="13" t="s">
        <v>1342</v>
      </c>
      <c r="L14" s="14" t="s">
        <v>1343</v>
      </c>
      <c r="M14" s="14" t="s">
        <v>43</v>
      </c>
      <c r="N14" s="14" t="s">
        <v>1344</v>
      </c>
      <c r="O14" s="14" t="s">
        <v>41</v>
      </c>
      <c r="P14" s="14" t="s">
        <v>41</v>
      </c>
      <c r="Q14" s="14" t="s">
        <v>1345</v>
      </c>
      <c r="R14" s="14" t="s">
        <v>41</v>
      </c>
      <c r="S14" s="14"/>
      <c r="T14" s="14" t="s">
        <v>1269</v>
      </c>
    </row>
    <row r="15" customFormat="false" ht="46.25" hidden="false" customHeight="false" outlineLevel="0" collapsed="false">
      <c r="A15" s="12" t="s">
        <v>1346</v>
      </c>
      <c r="B15" s="12" t="s">
        <v>46</v>
      </c>
      <c r="C15" s="12" t="s">
        <v>142</v>
      </c>
      <c r="D15" s="13" t="s">
        <v>1347</v>
      </c>
      <c r="E15" s="13" t="s">
        <v>1348</v>
      </c>
      <c r="F15" s="13" t="s">
        <v>1349</v>
      </c>
      <c r="G15" s="13" t="s">
        <v>144</v>
      </c>
      <c r="H15" s="13" t="s">
        <v>93</v>
      </c>
      <c r="I15" s="13" t="s">
        <v>1264</v>
      </c>
      <c r="J15" s="13" t="s">
        <v>1350</v>
      </c>
      <c r="K15" s="13" t="s">
        <v>1351</v>
      </c>
      <c r="L15" s="14" t="s">
        <v>1352</v>
      </c>
      <c r="M15" s="14" t="s">
        <v>43</v>
      </c>
      <c r="N15" s="14" t="s">
        <v>1353</v>
      </c>
      <c r="O15" s="14" t="s">
        <v>44</v>
      </c>
      <c r="P15" s="14" t="s">
        <v>41</v>
      </c>
      <c r="Q15" s="14" t="s">
        <v>1354</v>
      </c>
      <c r="R15" s="14" t="s">
        <v>41</v>
      </c>
      <c r="S15" s="14"/>
      <c r="T15" s="14" t="s">
        <v>1269</v>
      </c>
    </row>
    <row r="16" customFormat="false" ht="35.05" hidden="false" customHeight="false" outlineLevel="0" collapsed="false">
      <c r="A16" s="12" t="s">
        <v>1355</v>
      </c>
      <c r="B16" s="12" t="s">
        <v>46</v>
      </c>
      <c r="C16" s="12" t="s">
        <v>142</v>
      </c>
      <c r="D16" s="13" t="s">
        <v>1356</v>
      </c>
      <c r="E16" s="13" t="s">
        <v>1357</v>
      </c>
      <c r="F16" s="13" t="s">
        <v>1358</v>
      </c>
      <c r="G16" s="13" t="s">
        <v>144</v>
      </c>
      <c r="H16" s="13" t="s">
        <v>93</v>
      </c>
      <c r="I16" s="13" t="s">
        <v>1264</v>
      </c>
      <c r="J16" s="13" t="s">
        <v>1359</v>
      </c>
      <c r="K16" s="13" t="s">
        <v>1360</v>
      </c>
      <c r="L16" s="14" t="s">
        <v>1361</v>
      </c>
      <c r="M16" s="14" t="s">
        <v>41</v>
      </c>
      <c r="N16" s="14"/>
      <c r="O16" s="14" t="s">
        <v>41</v>
      </c>
      <c r="P16" s="14" t="s">
        <v>41</v>
      </c>
      <c r="Q16" s="14" t="s">
        <v>1362</v>
      </c>
      <c r="R16" s="14" t="s">
        <v>41</v>
      </c>
      <c r="S16" s="14"/>
      <c r="T16" s="14" t="s">
        <v>1269</v>
      </c>
    </row>
    <row r="17" customFormat="false" ht="35.05" hidden="false" customHeight="false" outlineLevel="0" collapsed="false">
      <c r="A17" s="12" t="s">
        <v>1363</v>
      </c>
      <c r="B17" s="12" t="s">
        <v>46</v>
      </c>
      <c r="C17" s="12" t="s">
        <v>142</v>
      </c>
      <c r="D17" s="13" t="s">
        <v>1364</v>
      </c>
      <c r="E17" s="13" t="s">
        <v>1365</v>
      </c>
      <c r="F17" s="13" t="s">
        <v>1366</v>
      </c>
      <c r="G17" s="13" t="s">
        <v>144</v>
      </c>
      <c r="H17" s="13" t="s">
        <v>93</v>
      </c>
      <c r="I17" s="13" t="s">
        <v>1264</v>
      </c>
      <c r="J17" s="13" t="s">
        <v>1367</v>
      </c>
      <c r="K17" s="13" t="s">
        <v>1368</v>
      </c>
      <c r="L17" s="14" t="s">
        <v>1369</v>
      </c>
      <c r="M17" s="14" t="s">
        <v>41</v>
      </c>
      <c r="N17" s="14"/>
      <c r="O17" s="14" t="s">
        <v>41</v>
      </c>
      <c r="P17" s="14" t="s">
        <v>41</v>
      </c>
      <c r="Q17" s="14" t="s">
        <v>1370</v>
      </c>
      <c r="R17" s="14" t="s">
        <v>41</v>
      </c>
      <c r="S17" s="14"/>
      <c r="T17" s="14" t="s">
        <v>1269</v>
      </c>
    </row>
    <row r="18" customFormat="false" ht="35.05" hidden="false" customHeight="false" outlineLevel="0" collapsed="false">
      <c r="A18" s="12" t="s">
        <v>1371</v>
      </c>
      <c r="B18" s="12" t="s">
        <v>46</v>
      </c>
      <c r="C18" s="12" t="s">
        <v>142</v>
      </c>
      <c r="D18" s="13" t="s">
        <v>1372</v>
      </c>
      <c r="E18" s="13" t="s">
        <v>1373</v>
      </c>
      <c r="F18" s="13" t="s">
        <v>1374</v>
      </c>
      <c r="G18" s="13" t="s">
        <v>144</v>
      </c>
      <c r="H18" s="13" t="s">
        <v>93</v>
      </c>
      <c r="I18" s="13" t="s">
        <v>1274</v>
      </c>
      <c r="J18" s="13" t="s">
        <v>1375</v>
      </c>
      <c r="K18" s="13" t="s">
        <v>1376</v>
      </c>
      <c r="L18" s="14" t="s">
        <v>1377</v>
      </c>
      <c r="M18" s="14" t="s">
        <v>43</v>
      </c>
      <c r="N18" s="14" t="s">
        <v>1378</v>
      </c>
      <c r="O18" s="14" t="s">
        <v>43</v>
      </c>
      <c r="P18" s="14" t="s">
        <v>44</v>
      </c>
      <c r="Q18" s="14" t="s">
        <v>1379</v>
      </c>
      <c r="R18" s="14" t="s">
        <v>41</v>
      </c>
      <c r="S18" s="14"/>
      <c r="T18" s="14" t="s">
        <v>1269</v>
      </c>
    </row>
    <row r="19" customFormat="false" ht="23.85" hidden="false" customHeight="false" outlineLevel="0" collapsed="false">
      <c r="A19" s="12" t="s">
        <v>1380</v>
      </c>
      <c r="B19" s="12" t="s">
        <v>46</v>
      </c>
      <c r="C19" s="12" t="s">
        <v>142</v>
      </c>
      <c r="D19" s="13" t="s">
        <v>1381</v>
      </c>
      <c r="E19" s="13" t="s">
        <v>1382</v>
      </c>
      <c r="F19" s="13" t="s">
        <v>1383</v>
      </c>
      <c r="G19" s="13" t="s">
        <v>144</v>
      </c>
      <c r="H19" s="13" t="s">
        <v>93</v>
      </c>
      <c r="I19" s="13" t="s">
        <v>1274</v>
      </c>
      <c r="J19" s="13" t="s">
        <v>1384</v>
      </c>
      <c r="K19" s="13" t="s">
        <v>1385</v>
      </c>
      <c r="L19" s="14" t="s">
        <v>1277</v>
      </c>
      <c r="M19" s="14" t="s">
        <v>44</v>
      </c>
      <c r="N19" s="14" t="s">
        <v>1278</v>
      </c>
      <c r="O19" s="14" t="s">
        <v>43</v>
      </c>
      <c r="P19" s="14" t="s">
        <v>43</v>
      </c>
      <c r="Q19" s="14" t="s">
        <v>1386</v>
      </c>
      <c r="R19" s="14" t="s">
        <v>41</v>
      </c>
      <c r="S19" s="14"/>
      <c r="T19" s="14" t="s">
        <v>1269</v>
      </c>
    </row>
    <row r="20" customFormat="false" ht="35.05" hidden="false" customHeight="false" outlineLevel="0" collapsed="false">
      <c r="A20" s="12" t="s">
        <v>1387</v>
      </c>
      <c r="B20" s="12" t="s">
        <v>46</v>
      </c>
      <c r="C20" s="12" t="s">
        <v>142</v>
      </c>
      <c r="D20" s="13" t="s">
        <v>1388</v>
      </c>
      <c r="E20" s="13" t="s">
        <v>1389</v>
      </c>
      <c r="F20" s="13" t="s">
        <v>1390</v>
      </c>
      <c r="G20" s="13" t="s">
        <v>144</v>
      </c>
      <c r="H20" s="13" t="s">
        <v>93</v>
      </c>
      <c r="I20" s="13" t="s">
        <v>1264</v>
      </c>
      <c r="J20" s="13" t="s">
        <v>1391</v>
      </c>
      <c r="K20" s="13" t="s">
        <v>1392</v>
      </c>
      <c r="L20" s="14" t="s">
        <v>1393</v>
      </c>
      <c r="M20" s="14" t="s">
        <v>43</v>
      </c>
      <c r="N20" s="14" t="s">
        <v>1394</v>
      </c>
      <c r="O20" s="14" t="s">
        <v>42</v>
      </c>
      <c r="P20" s="14" t="s">
        <v>42</v>
      </c>
      <c r="Q20" s="14" t="s">
        <v>1395</v>
      </c>
      <c r="R20" s="14" t="s">
        <v>41</v>
      </c>
      <c r="S20" s="14"/>
      <c r="T20" s="14" t="s">
        <v>1269</v>
      </c>
    </row>
    <row r="21" customFormat="false" ht="23.85" hidden="false" customHeight="false" outlineLevel="0" collapsed="false">
      <c r="A21" s="12" t="s">
        <v>1387</v>
      </c>
      <c r="B21" s="12" t="s">
        <v>46</v>
      </c>
      <c r="C21" s="12" t="s">
        <v>1396</v>
      </c>
      <c r="D21" s="13" t="s">
        <v>1388</v>
      </c>
      <c r="E21" s="13" t="s">
        <v>1389</v>
      </c>
      <c r="F21" s="13" t="s">
        <v>1390</v>
      </c>
      <c r="G21" s="13" t="s">
        <v>144</v>
      </c>
      <c r="H21" s="13"/>
      <c r="I21" s="13" t="s">
        <v>387</v>
      </c>
      <c r="J21" s="13"/>
      <c r="K21" s="13" t="s">
        <v>1392</v>
      </c>
      <c r="L21" s="14"/>
      <c r="M21" s="14"/>
      <c r="N21" s="14"/>
      <c r="O21" s="14"/>
      <c r="P21" s="14"/>
      <c r="Q21" s="14"/>
      <c r="R21" s="14" t="s">
        <v>43</v>
      </c>
      <c r="S21" s="14"/>
      <c r="T21" s="14" t="s">
        <v>1269</v>
      </c>
    </row>
    <row r="22" customFormat="false" ht="35.05" hidden="false" customHeight="false" outlineLevel="0" collapsed="false">
      <c r="A22" s="12" t="s">
        <v>1397</v>
      </c>
      <c r="B22" s="12" t="s">
        <v>46</v>
      </c>
      <c r="C22" s="12" t="s">
        <v>142</v>
      </c>
      <c r="D22" s="13" t="s">
        <v>1398</v>
      </c>
      <c r="E22" s="13" t="s">
        <v>1399</v>
      </c>
      <c r="F22" s="13" t="s">
        <v>1400</v>
      </c>
      <c r="G22" s="13" t="s">
        <v>144</v>
      </c>
      <c r="H22" s="13" t="s">
        <v>93</v>
      </c>
      <c r="I22" s="13" t="s">
        <v>1264</v>
      </c>
      <c r="J22" s="13" t="s">
        <v>1401</v>
      </c>
      <c r="K22" s="13" t="s">
        <v>1402</v>
      </c>
      <c r="L22" s="14" t="s">
        <v>1403</v>
      </c>
      <c r="M22" s="14" t="s">
        <v>43</v>
      </c>
      <c r="N22" s="14" t="s">
        <v>1404</v>
      </c>
      <c r="O22" s="14" t="s">
        <v>43</v>
      </c>
      <c r="P22" s="14" t="s">
        <v>44</v>
      </c>
      <c r="Q22" s="14" t="s">
        <v>1405</v>
      </c>
      <c r="R22" s="14" t="s">
        <v>41</v>
      </c>
      <c r="S22" s="14"/>
      <c r="T22" s="14" t="s">
        <v>1269</v>
      </c>
    </row>
    <row r="23" customFormat="false" ht="35.05" hidden="false" customHeight="false" outlineLevel="0" collapsed="false">
      <c r="A23" s="12" t="s">
        <v>1406</v>
      </c>
      <c r="B23" s="12" t="s">
        <v>46</v>
      </c>
      <c r="C23" s="12" t="s">
        <v>142</v>
      </c>
      <c r="D23" s="13" t="s">
        <v>1407</v>
      </c>
      <c r="E23" s="13" t="s">
        <v>1408</v>
      </c>
      <c r="F23" s="13" t="s">
        <v>1409</v>
      </c>
      <c r="G23" s="13" t="s">
        <v>144</v>
      </c>
      <c r="H23" s="13" t="s">
        <v>93</v>
      </c>
      <c r="I23" s="13" t="s">
        <v>1264</v>
      </c>
      <c r="J23" s="13" t="s">
        <v>1410</v>
      </c>
      <c r="K23" s="13" t="s">
        <v>1411</v>
      </c>
      <c r="L23" s="14" t="s">
        <v>1412</v>
      </c>
      <c r="M23" s="14" t="s">
        <v>41</v>
      </c>
      <c r="N23" s="14"/>
      <c r="O23" s="14" t="s">
        <v>41</v>
      </c>
      <c r="P23" s="14" t="s">
        <v>41</v>
      </c>
      <c r="Q23" s="14" t="s">
        <v>1413</v>
      </c>
      <c r="R23" s="14" t="s">
        <v>41</v>
      </c>
      <c r="S23" s="14"/>
      <c r="T23" s="14" t="s">
        <v>1269</v>
      </c>
    </row>
    <row r="24" customFormat="false" ht="35.05" hidden="false" customHeight="false" outlineLevel="0" collapsed="false">
      <c r="A24" s="12" t="s">
        <v>1414</v>
      </c>
      <c r="B24" s="12" t="s">
        <v>46</v>
      </c>
      <c r="C24" s="12" t="s">
        <v>142</v>
      </c>
      <c r="D24" s="13" t="s">
        <v>1415</v>
      </c>
      <c r="E24" s="13" t="s">
        <v>1416</v>
      </c>
      <c r="F24" s="13" t="s">
        <v>1417</v>
      </c>
      <c r="G24" s="13" t="s">
        <v>144</v>
      </c>
      <c r="H24" s="13" t="s">
        <v>93</v>
      </c>
      <c r="I24" s="13" t="s">
        <v>1264</v>
      </c>
      <c r="J24" s="13" t="s">
        <v>1418</v>
      </c>
      <c r="K24" s="13" t="s">
        <v>1419</v>
      </c>
      <c r="L24" s="14" t="s">
        <v>1420</v>
      </c>
      <c r="M24" s="14" t="s">
        <v>41</v>
      </c>
      <c r="N24" s="14"/>
      <c r="O24" s="14" t="s">
        <v>41</v>
      </c>
      <c r="P24" s="14" t="s">
        <v>41</v>
      </c>
      <c r="Q24" s="14" t="s">
        <v>1421</v>
      </c>
      <c r="R24" s="14" t="s">
        <v>41</v>
      </c>
      <c r="S24" s="14"/>
      <c r="T24" s="14" t="s">
        <v>1269</v>
      </c>
    </row>
    <row r="25" customFormat="false" ht="35.05" hidden="false" customHeight="false" outlineLevel="0" collapsed="false">
      <c r="A25" s="12" t="s">
        <v>1422</v>
      </c>
      <c r="B25" s="12" t="s">
        <v>46</v>
      </c>
      <c r="C25" s="12" t="s">
        <v>142</v>
      </c>
      <c r="D25" s="13" t="s">
        <v>1423</v>
      </c>
      <c r="E25" s="13" t="s">
        <v>1424</v>
      </c>
      <c r="F25" s="13" t="s">
        <v>1425</v>
      </c>
      <c r="G25" s="13" t="s">
        <v>144</v>
      </c>
      <c r="H25" s="13" t="s">
        <v>93</v>
      </c>
      <c r="I25" s="13" t="s">
        <v>1264</v>
      </c>
      <c r="J25" s="13" t="s">
        <v>1426</v>
      </c>
      <c r="K25" s="13" t="s">
        <v>1427</v>
      </c>
      <c r="L25" s="14" t="s">
        <v>1428</v>
      </c>
      <c r="M25" s="14" t="s">
        <v>41</v>
      </c>
      <c r="N25" s="14"/>
      <c r="O25" s="14" t="s">
        <v>41</v>
      </c>
      <c r="P25" s="14" t="s">
        <v>43</v>
      </c>
      <c r="Q25" s="14" t="s">
        <v>1429</v>
      </c>
      <c r="R25" s="14" t="s">
        <v>41</v>
      </c>
      <c r="S25" s="14"/>
      <c r="T25" s="14" t="s">
        <v>1269</v>
      </c>
    </row>
    <row r="26" customFormat="false" ht="35.05" hidden="false" customHeight="false" outlineLevel="0" collapsed="false">
      <c r="A26" s="12" t="s">
        <v>1430</v>
      </c>
      <c r="B26" s="12" t="s">
        <v>47</v>
      </c>
      <c r="C26" s="12" t="s">
        <v>142</v>
      </c>
      <c r="D26" s="13" t="s">
        <v>1431</v>
      </c>
      <c r="E26" s="13" t="s">
        <v>1432</v>
      </c>
      <c r="F26" s="13" t="s">
        <v>1433</v>
      </c>
      <c r="G26" s="13" t="s">
        <v>206</v>
      </c>
      <c r="H26" s="13" t="s">
        <v>93</v>
      </c>
      <c r="I26" s="13" t="s">
        <v>1274</v>
      </c>
      <c r="J26" s="13" t="s">
        <v>1434</v>
      </c>
      <c r="K26" s="13" t="s">
        <v>1435</v>
      </c>
      <c r="L26" s="14" t="s">
        <v>1294</v>
      </c>
      <c r="M26" s="14" t="s">
        <v>44</v>
      </c>
      <c r="N26" s="14" t="s">
        <v>1436</v>
      </c>
      <c r="O26" s="14" t="s">
        <v>43</v>
      </c>
      <c r="P26" s="14" t="s">
        <v>44</v>
      </c>
      <c r="Q26" s="14" t="s">
        <v>1437</v>
      </c>
      <c r="R26" s="14" t="s">
        <v>43</v>
      </c>
      <c r="S26" s="14" t="s">
        <v>1438</v>
      </c>
      <c r="T26" s="14" t="s">
        <v>1269</v>
      </c>
    </row>
    <row r="27" customFormat="false" ht="23.85" hidden="false" customHeight="false" outlineLevel="0" collapsed="false">
      <c r="A27" s="12" t="s">
        <v>1439</v>
      </c>
      <c r="B27" s="12" t="s">
        <v>47</v>
      </c>
      <c r="C27" s="12" t="s">
        <v>142</v>
      </c>
      <c r="D27" s="13" t="s">
        <v>1440</v>
      </c>
      <c r="E27" s="13" t="s">
        <v>1441</v>
      </c>
      <c r="F27" s="13" t="s">
        <v>1442</v>
      </c>
      <c r="G27" s="13" t="s">
        <v>206</v>
      </c>
      <c r="H27" s="13" t="s">
        <v>93</v>
      </c>
      <c r="I27" s="13" t="s">
        <v>1264</v>
      </c>
      <c r="J27" s="13" t="s">
        <v>1443</v>
      </c>
      <c r="K27" s="13" t="s">
        <v>1444</v>
      </c>
      <c r="L27" s="14" t="s">
        <v>1334</v>
      </c>
      <c r="M27" s="14" t="s">
        <v>42</v>
      </c>
      <c r="N27" s="14" t="s">
        <v>1445</v>
      </c>
      <c r="O27" s="14" t="s">
        <v>42</v>
      </c>
      <c r="P27" s="14" t="s">
        <v>42</v>
      </c>
      <c r="Q27" s="14" t="s">
        <v>1277</v>
      </c>
      <c r="R27" s="14" t="s">
        <v>41</v>
      </c>
      <c r="S27" s="14"/>
      <c r="T27" s="14" t="s">
        <v>1269</v>
      </c>
    </row>
    <row r="28" customFormat="false" ht="35.05" hidden="false" customHeight="false" outlineLevel="0" collapsed="false">
      <c r="A28" s="12" t="s">
        <v>1446</v>
      </c>
      <c r="B28" s="12" t="s">
        <v>47</v>
      </c>
      <c r="C28" s="12" t="s">
        <v>142</v>
      </c>
      <c r="D28" s="13" t="s">
        <v>1447</v>
      </c>
      <c r="E28" s="13" t="s">
        <v>1448</v>
      </c>
      <c r="F28" s="13" t="s">
        <v>1449</v>
      </c>
      <c r="G28" s="13" t="s">
        <v>206</v>
      </c>
      <c r="H28" s="13" t="s">
        <v>93</v>
      </c>
      <c r="I28" s="13" t="s">
        <v>1264</v>
      </c>
      <c r="J28" s="13" t="s">
        <v>1450</v>
      </c>
      <c r="K28" s="13" t="s">
        <v>1451</v>
      </c>
      <c r="L28" s="14" t="s">
        <v>1452</v>
      </c>
      <c r="M28" s="14" t="s">
        <v>43</v>
      </c>
      <c r="N28" s="14" t="s">
        <v>1453</v>
      </c>
      <c r="O28" s="14" t="s">
        <v>42</v>
      </c>
      <c r="P28" s="14" t="s">
        <v>43</v>
      </c>
      <c r="Q28" s="14" t="s">
        <v>1454</v>
      </c>
      <c r="R28" s="14" t="s">
        <v>43</v>
      </c>
      <c r="S28" s="14" t="s">
        <v>1455</v>
      </c>
      <c r="T28" s="14" t="s">
        <v>1269</v>
      </c>
    </row>
    <row r="29" customFormat="false" ht="15" hidden="false" customHeight="false" outlineLevel="0" collapsed="false">
      <c r="A29" s="12" t="s">
        <v>1456</v>
      </c>
      <c r="B29" s="12" t="s">
        <v>47</v>
      </c>
      <c r="C29" s="12" t="s">
        <v>142</v>
      </c>
      <c r="D29" s="13" t="s">
        <v>1457</v>
      </c>
      <c r="E29" s="13" t="s">
        <v>1458</v>
      </c>
      <c r="F29" s="13" t="s">
        <v>1459</v>
      </c>
      <c r="G29" s="13" t="s">
        <v>178</v>
      </c>
      <c r="H29" s="13" t="s">
        <v>591</v>
      </c>
      <c r="I29" s="13" t="s">
        <v>1460</v>
      </c>
      <c r="J29" s="13"/>
      <c r="K29" s="13" t="s">
        <v>1461</v>
      </c>
      <c r="L29" s="14" t="s">
        <v>1462</v>
      </c>
      <c r="M29" s="14" t="s">
        <v>41</v>
      </c>
      <c r="N29" s="14"/>
      <c r="O29" s="14" t="s">
        <v>41</v>
      </c>
      <c r="P29" s="14" t="s">
        <v>41</v>
      </c>
      <c r="Q29" s="14" t="s">
        <v>1463</v>
      </c>
      <c r="R29" s="14" t="s">
        <v>41</v>
      </c>
      <c r="S29" s="14"/>
      <c r="T29" s="14" t="s">
        <v>1269</v>
      </c>
    </row>
    <row r="30" customFormat="false" ht="35.05" hidden="false" customHeight="false" outlineLevel="0" collapsed="false">
      <c r="A30" s="12" t="s">
        <v>1464</v>
      </c>
      <c r="B30" s="12" t="s">
        <v>47</v>
      </c>
      <c r="C30" s="12" t="s">
        <v>142</v>
      </c>
      <c r="D30" s="13" t="s">
        <v>1465</v>
      </c>
      <c r="E30" s="13" t="s">
        <v>1466</v>
      </c>
      <c r="F30" s="13" t="s">
        <v>1467</v>
      </c>
      <c r="G30" s="13" t="s">
        <v>178</v>
      </c>
      <c r="H30" s="13" t="s">
        <v>591</v>
      </c>
      <c r="I30" s="13" t="s">
        <v>1460</v>
      </c>
      <c r="J30" s="13"/>
      <c r="K30" s="13" t="s">
        <v>1468</v>
      </c>
      <c r="L30" s="14" t="s">
        <v>1469</v>
      </c>
      <c r="M30" s="14" t="s">
        <v>44</v>
      </c>
      <c r="N30" s="14" t="s">
        <v>1470</v>
      </c>
      <c r="O30" s="14" t="s">
        <v>42</v>
      </c>
      <c r="P30" s="14" t="s">
        <v>41</v>
      </c>
      <c r="Q30" s="14" t="s">
        <v>1471</v>
      </c>
      <c r="R30" s="14" t="s">
        <v>41</v>
      </c>
      <c r="S30" s="14"/>
      <c r="T30" s="14" t="s">
        <v>1269</v>
      </c>
    </row>
    <row r="31" customFormat="false" ht="35.05" hidden="false" customHeight="false" outlineLevel="0" collapsed="false">
      <c r="A31" s="12" t="s">
        <v>1472</v>
      </c>
      <c r="B31" s="12" t="s">
        <v>47</v>
      </c>
      <c r="C31" s="12" t="s">
        <v>142</v>
      </c>
      <c r="D31" s="13" t="s">
        <v>1473</v>
      </c>
      <c r="E31" s="13" t="s">
        <v>1474</v>
      </c>
      <c r="F31" s="13" t="s">
        <v>1475</v>
      </c>
      <c r="G31" s="13" t="s">
        <v>144</v>
      </c>
      <c r="H31" s="13" t="s">
        <v>93</v>
      </c>
      <c r="I31" s="13" t="s">
        <v>1264</v>
      </c>
      <c r="J31" s="13" t="s">
        <v>1476</v>
      </c>
      <c r="K31" s="13" t="s">
        <v>1477</v>
      </c>
      <c r="L31" s="14" t="s">
        <v>1478</v>
      </c>
      <c r="M31" s="14" t="s">
        <v>43</v>
      </c>
      <c r="N31" s="14" t="s">
        <v>1479</v>
      </c>
      <c r="O31" s="14" t="s">
        <v>41</v>
      </c>
      <c r="P31" s="14" t="s">
        <v>41</v>
      </c>
      <c r="Q31" s="14" t="s">
        <v>1480</v>
      </c>
      <c r="R31" s="14" t="s">
        <v>41</v>
      </c>
      <c r="S31" s="14"/>
      <c r="T31" s="14" t="s">
        <v>1269</v>
      </c>
    </row>
    <row r="32" customFormat="false" ht="35.05" hidden="false" customHeight="false" outlineLevel="0" collapsed="false">
      <c r="A32" s="12" t="s">
        <v>1481</v>
      </c>
      <c r="B32" s="12" t="s">
        <v>47</v>
      </c>
      <c r="C32" s="12" t="s">
        <v>142</v>
      </c>
      <c r="D32" s="13" t="s">
        <v>1482</v>
      </c>
      <c r="E32" s="13" t="s">
        <v>1483</v>
      </c>
      <c r="F32" s="13" t="s">
        <v>1484</v>
      </c>
      <c r="G32" s="13" t="s">
        <v>206</v>
      </c>
      <c r="H32" s="13" t="s">
        <v>93</v>
      </c>
      <c r="I32" s="13" t="s">
        <v>1264</v>
      </c>
      <c r="J32" s="13" t="s">
        <v>1485</v>
      </c>
      <c r="K32" s="13" t="s">
        <v>1486</v>
      </c>
      <c r="L32" s="14" t="s">
        <v>1487</v>
      </c>
      <c r="M32" s="14" t="s">
        <v>41</v>
      </c>
      <c r="N32" s="14"/>
      <c r="O32" s="14" t="s">
        <v>41</v>
      </c>
      <c r="P32" s="14" t="s">
        <v>41</v>
      </c>
      <c r="Q32" s="14" t="s">
        <v>1488</v>
      </c>
      <c r="R32" s="14" t="s">
        <v>41</v>
      </c>
      <c r="S32" s="14"/>
      <c r="T32" s="14" t="s">
        <v>1269</v>
      </c>
    </row>
    <row r="33" customFormat="false" ht="35.05" hidden="false" customHeight="false" outlineLevel="0" collapsed="false">
      <c r="A33" s="12" t="s">
        <v>1489</v>
      </c>
      <c r="B33" s="12" t="s">
        <v>47</v>
      </c>
      <c r="C33" s="12" t="s">
        <v>142</v>
      </c>
      <c r="D33" s="13" t="s">
        <v>1490</v>
      </c>
      <c r="E33" s="13" t="s">
        <v>1491</v>
      </c>
      <c r="F33" s="13" t="s">
        <v>1492</v>
      </c>
      <c r="G33" s="13" t="s">
        <v>144</v>
      </c>
      <c r="H33" s="13" t="s">
        <v>93</v>
      </c>
      <c r="I33" s="13" t="s">
        <v>1264</v>
      </c>
      <c r="J33" s="13" t="s">
        <v>1418</v>
      </c>
      <c r="K33" s="13" t="s">
        <v>1493</v>
      </c>
      <c r="L33" s="14" t="s">
        <v>1420</v>
      </c>
      <c r="M33" s="14" t="s">
        <v>41</v>
      </c>
      <c r="N33" s="14"/>
      <c r="O33" s="14" t="s">
        <v>41</v>
      </c>
      <c r="P33" s="14" t="s">
        <v>41</v>
      </c>
      <c r="Q33" s="14" t="s">
        <v>1421</v>
      </c>
      <c r="R33" s="14" t="s">
        <v>41</v>
      </c>
      <c r="S33" s="14"/>
      <c r="T33" s="14" t="s">
        <v>1269</v>
      </c>
    </row>
    <row r="34" customFormat="false" ht="68.65" hidden="false" customHeight="false" outlineLevel="0" collapsed="false">
      <c r="A34" s="12" t="s">
        <v>1494</v>
      </c>
      <c r="B34" s="12" t="s">
        <v>47</v>
      </c>
      <c r="C34" s="12" t="s">
        <v>142</v>
      </c>
      <c r="D34" s="13" t="s">
        <v>1495</v>
      </c>
      <c r="E34" s="13" t="s">
        <v>1496</v>
      </c>
      <c r="F34" s="13" t="s">
        <v>1497</v>
      </c>
      <c r="G34" s="13" t="s">
        <v>206</v>
      </c>
      <c r="H34" s="13"/>
      <c r="I34" s="13" t="s">
        <v>387</v>
      </c>
      <c r="J34" s="13" t="s">
        <v>1498</v>
      </c>
      <c r="K34" s="13" t="s">
        <v>1499</v>
      </c>
      <c r="L34" s="14" t="s">
        <v>1500</v>
      </c>
      <c r="M34" s="14" t="s">
        <v>43</v>
      </c>
      <c r="N34" s="14" t="s">
        <v>1501</v>
      </c>
      <c r="O34" s="14" t="s">
        <v>43</v>
      </c>
      <c r="P34" s="14" t="s">
        <v>43</v>
      </c>
      <c r="Q34" s="14" t="s">
        <v>1502</v>
      </c>
      <c r="R34" s="14" t="s">
        <v>43</v>
      </c>
      <c r="S34" s="14" t="s">
        <v>1503</v>
      </c>
      <c r="T34" s="14" t="s">
        <v>1269</v>
      </c>
    </row>
    <row r="35" customFormat="false" ht="35.05" hidden="false" customHeight="false" outlineLevel="0" collapsed="false">
      <c r="A35" s="12" t="s">
        <v>1504</v>
      </c>
      <c r="B35" s="12" t="s">
        <v>47</v>
      </c>
      <c r="C35" s="12" t="s">
        <v>142</v>
      </c>
      <c r="D35" s="13" t="s">
        <v>1505</v>
      </c>
      <c r="E35" s="13" t="s">
        <v>1506</v>
      </c>
      <c r="F35" s="13" t="s">
        <v>1507</v>
      </c>
      <c r="G35" s="13" t="s">
        <v>206</v>
      </c>
      <c r="H35" s="13"/>
      <c r="I35" s="13" t="s">
        <v>387</v>
      </c>
      <c r="J35" s="13" t="s">
        <v>1508</v>
      </c>
      <c r="K35" s="13" t="s">
        <v>1509</v>
      </c>
      <c r="L35" s="14" t="s">
        <v>1510</v>
      </c>
      <c r="M35" s="14" t="s">
        <v>42</v>
      </c>
      <c r="N35" s="14" t="s">
        <v>1511</v>
      </c>
      <c r="O35" s="14" t="s">
        <v>42</v>
      </c>
      <c r="P35" s="14" t="s">
        <v>42</v>
      </c>
      <c r="Q35" s="14" t="s">
        <v>1512</v>
      </c>
      <c r="R35" s="14" t="s">
        <v>42</v>
      </c>
      <c r="S35" s="14" t="s">
        <v>1513</v>
      </c>
      <c r="T35" s="14" t="s">
        <v>1269</v>
      </c>
    </row>
    <row r="36" customFormat="false" ht="46.25" hidden="false" customHeight="false" outlineLevel="0" collapsed="false">
      <c r="A36" s="12" t="s">
        <v>1514</v>
      </c>
      <c r="B36" s="12" t="s">
        <v>48</v>
      </c>
      <c r="C36" s="12" t="s">
        <v>142</v>
      </c>
      <c r="D36" s="13" t="s">
        <v>1515</v>
      </c>
      <c r="E36" s="13" t="s">
        <v>1516</v>
      </c>
      <c r="F36" s="13" t="s">
        <v>1517</v>
      </c>
      <c r="G36" s="13" t="s">
        <v>144</v>
      </c>
      <c r="H36" s="13" t="s">
        <v>93</v>
      </c>
      <c r="I36" s="13" t="s">
        <v>1264</v>
      </c>
      <c r="J36" s="13" t="s">
        <v>1518</v>
      </c>
      <c r="K36" s="13" t="s">
        <v>1519</v>
      </c>
      <c r="L36" s="14" t="s">
        <v>1520</v>
      </c>
      <c r="M36" s="14" t="s">
        <v>43</v>
      </c>
      <c r="N36" s="14" t="s">
        <v>1521</v>
      </c>
      <c r="O36" s="14" t="s">
        <v>43</v>
      </c>
      <c r="P36" s="14" t="s">
        <v>43</v>
      </c>
      <c r="Q36" s="14" t="s">
        <v>1522</v>
      </c>
      <c r="R36" s="14" t="s">
        <v>41</v>
      </c>
      <c r="S36" s="14"/>
      <c r="T36" s="14" t="s">
        <v>1269</v>
      </c>
    </row>
    <row r="37" customFormat="false" ht="35.05" hidden="false" customHeight="false" outlineLevel="0" collapsed="false">
      <c r="A37" s="12" t="s">
        <v>1523</v>
      </c>
      <c r="B37" s="12" t="s">
        <v>48</v>
      </c>
      <c r="C37" s="12" t="s">
        <v>142</v>
      </c>
      <c r="D37" s="13" t="s">
        <v>1524</v>
      </c>
      <c r="E37" s="13" t="s">
        <v>1525</v>
      </c>
      <c r="F37" s="13" t="s">
        <v>1526</v>
      </c>
      <c r="G37" s="13" t="s">
        <v>144</v>
      </c>
      <c r="H37" s="13" t="s">
        <v>93</v>
      </c>
      <c r="I37" s="13" t="s">
        <v>1264</v>
      </c>
      <c r="J37" s="13" t="s">
        <v>1527</v>
      </c>
      <c r="K37" s="13" t="s">
        <v>1528</v>
      </c>
      <c r="L37" s="14" t="s">
        <v>1334</v>
      </c>
      <c r="M37" s="14" t="s">
        <v>44</v>
      </c>
      <c r="N37" s="14" t="s">
        <v>1529</v>
      </c>
      <c r="O37" s="14" t="s">
        <v>44</v>
      </c>
      <c r="P37" s="14" t="s">
        <v>41</v>
      </c>
      <c r="Q37" s="14" t="s">
        <v>1530</v>
      </c>
      <c r="R37" s="14" t="s">
        <v>41</v>
      </c>
      <c r="S37" s="14"/>
      <c r="T37" s="14" t="s">
        <v>1269</v>
      </c>
    </row>
    <row r="38" customFormat="false" ht="46.25" hidden="false" customHeight="false" outlineLevel="0" collapsed="false">
      <c r="A38" s="12" t="s">
        <v>1531</v>
      </c>
      <c r="B38" s="12" t="s">
        <v>48</v>
      </c>
      <c r="C38" s="12" t="s">
        <v>142</v>
      </c>
      <c r="D38" s="13" t="s">
        <v>1532</v>
      </c>
      <c r="E38" s="13" t="s">
        <v>1533</v>
      </c>
      <c r="F38" s="13" t="s">
        <v>1534</v>
      </c>
      <c r="G38" s="13" t="s">
        <v>144</v>
      </c>
      <c r="H38" s="13" t="s">
        <v>93</v>
      </c>
      <c r="I38" s="13" t="s">
        <v>1264</v>
      </c>
      <c r="J38" s="13" t="s">
        <v>1535</v>
      </c>
      <c r="K38" s="13" t="s">
        <v>1536</v>
      </c>
      <c r="L38" s="14" t="s">
        <v>1537</v>
      </c>
      <c r="M38" s="14" t="s">
        <v>41</v>
      </c>
      <c r="N38" s="14"/>
      <c r="O38" s="14" t="s">
        <v>41</v>
      </c>
      <c r="P38" s="14" t="s">
        <v>43</v>
      </c>
      <c r="Q38" s="14" t="s">
        <v>1538</v>
      </c>
      <c r="R38" s="14" t="s">
        <v>41</v>
      </c>
      <c r="S38" s="14"/>
      <c r="T38" s="14" t="s">
        <v>1269</v>
      </c>
    </row>
    <row r="39" customFormat="false" ht="35.05" hidden="false" customHeight="false" outlineLevel="0" collapsed="false">
      <c r="A39" s="12" t="s">
        <v>1539</v>
      </c>
      <c r="B39" s="12" t="s">
        <v>48</v>
      </c>
      <c r="C39" s="12" t="s">
        <v>142</v>
      </c>
      <c r="D39" s="13" t="s">
        <v>1540</v>
      </c>
      <c r="E39" s="13" t="s">
        <v>1541</v>
      </c>
      <c r="F39" s="13" t="s">
        <v>1542</v>
      </c>
      <c r="G39" s="13" t="s">
        <v>144</v>
      </c>
      <c r="H39" s="13" t="s">
        <v>93</v>
      </c>
      <c r="I39" s="13" t="s">
        <v>1274</v>
      </c>
      <c r="J39" s="13" t="s">
        <v>1543</v>
      </c>
      <c r="K39" s="13" t="s">
        <v>1544</v>
      </c>
      <c r="L39" s="14" t="s">
        <v>1545</v>
      </c>
      <c r="M39" s="14" t="s">
        <v>43</v>
      </c>
      <c r="N39" s="14" t="s">
        <v>1546</v>
      </c>
      <c r="O39" s="14" t="s">
        <v>41</v>
      </c>
      <c r="P39" s="14" t="s">
        <v>44</v>
      </c>
      <c r="Q39" s="14" t="s">
        <v>1547</v>
      </c>
      <c r="R39" s="14" t="s">
        <v>41</v>
      </c>
      <c r="S39" s="14"/>
      <c r="T39" s="14" t="s">
        <v>1269</v>
      </c>
    </row>
    <row r="40" customFormat="false" ht="35.05" hidden="false" customHeight="false" outlineLevel="0" collapsed="false">
      <c r="A40" s="12" t="s">
        <v>1548</v>
      </c>
      <c r="B40" s="12" t="s">
        <v>48</v>
      </c>
      <c r="C40" s="12" t="s">
        <v>142</v>
      </c>
      <c r="D40" s="13" t="s">
        <v>1549</v>
      </c>
      <c r="E40" s="13" t="s">
        <v>1550</v>
      </c>
      <c r="F40" s="13" t="s">
        <v>1551</v>
      </c>
      <c r="G40" s="13" t="s">
        <v>144</v>
      </c>
      <c r="H40" s="13" t="s">
        <v>93</v>
      </c>
      <c r="I40" s="13" t="s">
        <v>1274</v>
      </c>
      <c r="J40" s="13" t="s">
        <v>1552</v>
      </c>
      <c r="K40" s="13" t="s">
        <v>1553</v>
      </c>
      <c r="L40" s="14" t="s">
        <v>1500</v>
      </c>
      <c r="M40" s="14" t="s">
        <v>41</v>
      </c>
      <c r="N40" s="14"/>
      <c r="O40" s="14" t="s">
        <v>43</v>
      </c>
      <c r="P40" s="14" t="s">
        <v>44</v>
      </c>
      <c r="Q40" s="14" t="s">
        <v>1554</v>
      </c>
      <c r="R40" s="14" t="s">
        <v>41</v>
      </c>
      <c r="S40" s="14"/>
      <c r="T40" s="14" t="s">
        <v>1269</v>
      </c>
    </row>
    <row r="41" customFormat="false" ht="35.05" hidden="false" customHeight="false" outlineLevel="0" collapsed="false">
      <c r="A41" s="12" t="s">
        <v>1555</v>
      </c>
      <c r="B41" s="12" t="s">
        <v>48</v>
      </c>
      <c r="C41" s="12" t="s">
        <v>142</v>
      </c>
      <c r="D41" s="13" t="s">
        <v>1556</v>
      </c>
      <c r="E41" s="13" t="s">
        <v>1557</v>
      </c>
      <c r="F41" s="13" t="s">
        <v>1558</v>
      </c>
      <c r="G41" s="13" t="s">
        <v>144</v>
      </c>
      <c r="H41" s="13" t="s">
        <v>93</v>
      </c>
      <c r="I41" s="13" t="s">
        <v>1264</v>
      </c>
      <c r="J41" s="13" t="s">
        <v>1559</v>
      </c>
      <c r="K41" s="13" t="s">
        <v>1560</v>
      </c>
      <c r="L41" s="14" t="s">
        <v>1561</v>
      </c>
      <c r="M41" s="14" t="s">
        <v>43</v>
      </c>
      <c r="N41" s="14" t="s">
        <v>1562</v>
      </c>
      <c r="O41" s="14" t="s">
        <v>41</v>
      </c>
      <c r="P41" s="14" t="s">
        <v>41</v>
      </c>
      <c r="Q41" s="14" t="s">
        <v>1563</v>
      </c>
      <c r="R41" s="14" t="s">
        <v>41</v>
      </c>
      <c r="S41" s="14"/>
      <c r="T41" s="14" t="s">
        <v>1269</v>
      </c>
    </row>
    <row r="42" customFormat="false" ht="35.05" hidden="false" customHeight="false" outlineLevel="0" collapsed="false">
      <c r="A42" s="12" t="s">
        <v>1564</v>
      </c>
      <c r="B42" s="12" t="s">
        <v>48</v>
      </c>
      <c r="C42" s="12" t="s">
        <v>142</v>
      </c>
      <c r="D42" s="13" t="s">
        <v>1565</v>
      </c>
      <c r="E42" s="13" t="s">
        <v>1566</v>
      </c>
      <c r="F42" s="13" t="s">
        <v>1567</v>
      </c>
      <c r="G42" s="13" t="s">
        <v>144</v>
      </c>
      <c r="H42" s="13" t="s">
        <v>93</v>
      </c>
      <c r="I42" s="13" t="s">
        <v>1264</v>
      </c>
      <c r="J42" s="13" t="s">
        <v>1568</v>
      </c>
      <c r="K42" s="13" t="s">
        <v>1569</v>
      </c>
      <c r="L42" s="14" t="s">
        <v>1277</v>
      </c>
      <c r="M42" s="14" t="s">
        <v>42</v>
      </c>
      <c r="N42" s="14" t="s">
        <v>1570</v>
      </c>
      <c r="O42" s="14" t="s">
        <v>42</v>
      </c>
      <c r="P42" s="14" t="s">
        <v>43</v>
      </c>
      <c r="Q42" s="14"/>
      <c r="R42" s="14" t="s">
        <v>44</v>
      </c>
      <c r="S42" s="14" t="s">
        <v>155</v>
      </c>
      <c r="T42" s="14" t="s">
        <v>1269</v>
      </c>
    </row>
    <row r="43" customFormat="false" ht="23.85" hidden="false" customHeight="false" outlineLevel="0" collapsed="false">
      <c r="A43" s="12" t="s">
        <v>1564</v>
      </c>
      <c r="B43" s="12" t="s">
        <v>48</v>
      </c>
      <c r="C43" s="12" t="s">
        <v>1396</v>
      </c>
      <c r="D43" s="13" t="s">
        <v>1565</v>
      </c>
      <c r="E43" s="13" t="s">
        <v>1566</v>
      </c>
      <c r="F43" s="13" t="s">
        <v>1567</v>
      </c>
      <c r="G43" s="13" t="s">
        <v>144</v>
      </c>
      <c r="H43" s="13"/>
      <c r="I43" s="13" t="s">
        <v>387</v>
      </c>
      <c r="J43" s="13"/>
      <c r="K43" s="13" t="s">
        <v>1569</v>
      </c>
      <c r="L43" s="14"/>
      <c r="M43" s="14"/>
      <c r="N43" s="14"/>
      <c r="O43" s="14"/>
      <c r="P43" s="14"/>
      <c r="Q43" s="14"/>
      <c r="R43" s="14" t="s">
        <v>43</v>
      </c>
      <c r="S43" s="14" t="s">
        <v>1571</v>
      </c>
      <c r="T43" s="14" t="s">
        <v>1269</v>
      </c>
    </row>
    <row r="44" customFormat="false" ht="46.25" hidden="false" customHeight="false" outlineLevel="0" collapsed="false">
      <c r="A44" s="12" t="s">
        <v>1572</v>
      </c>
      <c r="B44" s="12" t="s">
        <v>48</v>
      </c>
      <c r="C44" s="12" t="s">
        <v>142</v>
      </c>
      <c r="D44" s="13" t="s">
        <v>1573</v>
      </c>
      <c r="E44" s="13" t="s">
        <v>1574</v>
      </c>
      <c r="F44" s="13" t="s">
        <v>1575</v>
      </c>
      <c r="G44" s="13" t="s">
        <v>144</v>
      </c>
      <c r="H44" s="13" t="s">
        <v>93</v>
      </c>
      <c r="I44" s="13" t="s">
        <v>1264</v>
      </c>
      <c r="J44" s="13" t="s">
        <v>1576</v>
      </c>
      <c r="K44" s="13" t="s">
        <v>1577</v>
      </c>
      <c r="L44" s="14" t="s">
        <v>1578</v>
      </c>
      <c r="M44" s="14" t="s">
        <v>41</v>
      </c>
      <c r="N44" s="14"/>
      <c r="O44" s="14" t="s">
        <v>44</v>
      </c>
      <c r="P44" s="14" t="s">
        <v>44</v>
      </c>
      <c r="Q44" s="14" t="s">
        <v>1579</v>
      </c>
      <c r="R44" s="14" t="s">
        <v>41</v>
      </c>
      <c r="S44" s="14"/>
      <c r="T44" s="14" t="s">
        <v>1269</v>
      </c>
    </row>
    <row r="45" customFormat="false" ht="35.05" hidden="false" customHeight="false" outlineLevel="0" collapsed="false">
      <c r="A45" s="12" t="s">
        <v>1580</v>
      </c>
      <c r="B45" s="12" t="s">
        <v>48</v>
      </c>
      <c r="C45" s="12" t="s">
        <v>142</v>
      </c>
      <c r="D45" s="13" t="s">
        <v>1581</v>
      </c>
      <c r="E45" s="13" t="s">
        <v>1582</v>
      </c>
      <c r="F45" s="13" t="s">
        <v>1583</v>
      </c>
      <c r="G45" s="13" t="s">
        <v>144</v>
      </c>
      <c r="H45" s="13" t="s">
        <v>93</v>
      </c>
      <c r="I45" s="13" t="s">
        <v>1264</v>
      </c>
      <c r="J45" s="13" t="s">
        <v>1584</v>
      </c>
      <c r="K45" s="13" t="s">
        <v>1585</v>
      </c>
      <c r="L45" s="14" t="s">
        <v>1586</v>
      </c>
      <c r="M45" s="14" t="s">
        <v>43</v>
      </c>
      <c r="N45" s="14" t="s">
        <v>1587</v>
      </c>
      <c r="O45" s="14" t="s">
        <v>43</v>
      </c>
      <c r="P45" s="14" t="s">
        <v>41</v>
      </c>
      <c r="Q45" s="14" t="s">
        <v>1588</v>
      </c>
      <c r="R45" s="14" t="s">
        <v>41</v>
      </c>
      <c r="S45" s="14"/>
      <c r="T45" s="14" t="s">
        <v>1269</v>
      </c>
    </row>
    <row r="46" customFormat="false" ht="35.05" hidden="false" customHeight="false" outlineLevel="0" collapsed="false">
      <c r="A46" s="12" t="s">
        <v>1589</v>
      </c>
      <c r="B46" s="12" t="s">
        <v>48</v>
      </c>
      <c r="C46" s="12" t="s">
        <v>142</v>
      </c>
      <c r="D46" s="13" t="s">
        <v>1590</v>
      </c>
      <c r="E46" s="13" t="s">
        <v>1591</v>
      </c>
      <c r="F46" s="13" t="s">
        <v>1592</v>
      </c>
      <c r="G46" s="13" t="s">
        <v>144</v>
      </c>
      <c r="H46" s="13" t="s">
        <v>93</v>
      </c>
      <c r="I46" s="13" t="s">
        <v>1274</v>
      </c>
      <c r="J46" s="13" t="s">
        <v>1593</v>
      </c>
      <c r="K46" s="13" t="s">
        <v>1594</v>
      </c>
      <c r="L46" s="14" t="s">
        <v>1545</v>
      </c>
      <c r="M46" s="14" t="s">
        <v>43</v>
      </c>
      <c r="N46" s="14" t="s">
        <v>1595</v>
      </c>
      <c r="O46" s="14" t="s">
        <v>43</v>
      </c>
      <c r="P46" s="14" t="s">
        <v>44</v>
      </c>
      <c r="Q46" s="14" t="s">
        <v>1596</v>
      </c>
      <c r="R46" s="14" t="s">
        <v>41</v>
      </c>
      <c r="S46" s="14"/>
      <c r="T46" s="14" t="s">
        <v>1269</v>
      </c>
    </row>
    <row r="47" customFormat="false" ht="35.05" hidden="false" customHeight="false" outlineLevel="0" collapsed="false">
      <c r="A47" s="12" t="s">
        <v>1597</v>
      </c>
      <c r="B47" s="12" t="s">
        <v>49</v>
      </c>
      <c r="C47" s="12" t="s">
        <v>142</v>
      </c>
      <c r="D47" s="13" t="s">
        <v>1598</v>
      </c>
      <c r="E47" s="13" t="s">
        <v>1599</v>
      </c>
      <c r="F47" s="13" t="s">
        <v>1600</v>
      </c>
      <c r="G47" s="13" t="s">
        <v>144</v>
      </c>
      <c r="H47" s="13" t="s">
        <v>93</v>
      </c>
      <c r="I47" s="13" t="s">
        <v>1264</v>
      </c>
      <c r="J47" s="13" t="s">
        <v>1601</v>
      </c>
      <c r="K47" s="13" t="s">
        <v>1602</v>
      </c>
      <c r="L47" s="14" t="s">
        <v>1603</v>
      </c>
      <c r="M47" s="14" t="s">
        <v>41</v>
      </c>
      <c r="N47" s="14"/>
      <c r="O47" s="14" t="s">
        <v>41</v>
      </c>
      <c r="P47" s="14" t="s">
        <v>41</v>
      </c>
      <c r="Q47" s="14" t="s">
        <v>1604</v>
      </c>
      <c r="R47" s="14" t="s">
        <v>41</v>
      </c>
      <c r="S47" s="14"/>
      <c r="T47" s="14" t="s">
        <v>1269</v>
      </c>
    </row>
    <row r="48" customFormat="false" ht="23.85" hidden="false" customHeight="false" outlineLevel="0" collapsed="false">
      <c r="A48" s="12" t="s">
        <v>1597</v>
      </c>
      <c r="B48" s="12" t="s">
        <v>49</v>
      </c>
      <c r="C48" s="12" t="s">
        <v>164</v>
      </c>
      <c r="D48" s="13" t="s">
        <v>1598</v>
      </c>
      <c r="E48" s="13" t="s">
        <v>1599</v>
      </c>
      <c r="F48" s="13" t="s">
        <v>1600</v>
      </c>
      <c r="G48" s="13" t="s">
        <v>144</v>
      </c>
      <c r="H48" s="13" t="s">
        <v>95</v>
      </c>
      <c r="I48" s="13" t="s">
        <v>1605</v>
      </c>
      <c r="J48" s="13" t="s">
        <v>1606</v>
      </c>
      <c r="K48" s="13" t="s">
        <v>1602</v>
      </c>
      <c r="L48" s="14" t="s">
        <v>1607</v>
      </c>
      <c r="M48" s="14" t="s">
        <v>41</v>
      </c>
      <c r="N48" s="14"/>
      <c r="O48" s="14" t="s">
        <v>41</v>
      </c>
      <c r="P48" s="14" t="s">
        <v>41</v>
      </c>
      <c r="Q48" s="14" t="s">
        <v>1608</v>
      </c>
      <c r="R48" s="14" t="s">
        <v>41</v>
      </c>
      <c r="S48" s="14"/>
      <c r="T48" s="14" t="s">
        <v>1269</v>
      </c>
    </row>
    <row r="49" customFormat="false" ht="35.05" hidden="false" customHeight="false" outlineLevel="0" collapsed="false">
      <c r="A49" s="12" t="s">
        <v>1609</v>
      </c>
      <c r="B49" s="12" t="s">
        <v>49</v>
      </c>
      <c r="C49" s="12" t="s">
        <v>142</v>
      </c>
      <c r="D49" s="13" t="s">
        <v>1610</v>
      </c>
      <c r="E49" s="13" t="s">
        <v>1611</v>
      </c>
      <c r="F49" s="13" t="s">
        <v>1612</v>
      </c>
      <c r="G49" s="13" t="s">
        <v>144</v>
      </c>
      <c r="H49" s="13" t="s">
        <v>97</v>
      </c>
      <c r="I49" s="13" t="s">
        <v>1613</v>
      </c>
      <c r="J49" s="13" t="s">
        <v>1614</v>
      </c>
      <c r="K49" s="13" t="s">
        <v>1615</v>
      </c>
      <c r="L49" s="14" t="s">
        <v>1616</v>
      </c>
      <c r="M49" s="14" t="s">
        <v>43</v>
      </c>
      <c r="N49" s="14" t="s">
        <v>1617</v>
      </c>
      <c r="O49" s="14" t="s">
        <v>44</v>
      </c>
      <c r="P49" s="14" t="s">
        <v>44</v>
      </c>
      <c r="Q49" s="14" t="s">
        <v>1618</v>
      </c>
      <c r="R49" s="14" t="s">
        <v>41</v>
      </c>
      <c r="S49" s="14"/>
      <c r="T49" s="14" t="s">
        <v>1269</v>
      </c>
    </row>
    <row r="50" customFormat="false" ht="35.05" hidden="false" customHeight="false" outlineLevel="0" collapsed="false">
      <c r="A50" s="12" t="s">
        <v>1609</v>
      </c>
      <c r="B50" s="12" t="s">
        <v>49</v>
      </c>
      <c r="C50" s="12" t="s">
        <v>164</v>
      </c>
      <c r="D50" s="13" t="s">
        <v>1610</v>
      </c>
      <c r="E50" s="13" t="s">
        <v>1611</v>
      </c>
      <c r="F50" s="13" t="s">
        <v>1612</v>
      </c>
      <c r="G50" s="13" t="s">
        <v>144</v>
      </c>
      <c r="H50" s="13" t="s">
        <v>93</v>
      </c>
      <c r="I50" s="13" t="s">
        <v>1264</v>
      </c>
      <c r="J50" s="13" t="s">
        <v>1301</v>
      </c>
      <c r="K50" s="13" t="s">
        <v>1615</v>
      </c>
      <c r="L50" s="14" t="s">
        <v>1303</v>
      </c>
      <c r="M50" s="14" t="s">
        <v>41</v>
      </c>
      <c r="N50" s="14"/>
      <c r="O50" s="14" t="s">
        <v>44</v>
      </c>
      <c r="P50" s="14" t="s">
        <v>44</v>
      </c>
      <c r="Q50" s="14" t="s">
        <v>1619</v>
      </c>
      <c r="R50" s="14" t="s">
        <v>41</v>
      </c>
      <c r="S50" s="14"/>
      <c r="T50" s="14" t="s">
        <v>1269</v>
      </c>
    </row>
    <row r="51" customFormat="false" ht="35.05" hidden="false" customHeight="false" outlineLevel="0" collapsed="false">
      <c r="A51" s="12" t="s">
        <v>1620</v>
      </c>
      <c r="B51" s="12" t="s">
        <v>49</v>
      </c>
      <c r="C51" s="12" t="s">
        <v>142</v>
      </c>
      <c r="D51" s="13" t="s">
        <v>1621</v>
      </c>
      <c r="E51" s="13" t="s">
        <v>1622</v>
      </c>
      <c r="F51" s="13" t="s">
        <v>1623</v>
      </c>
      <c r="G51" s="13" t="s">
        <v>144</v>
      </c>
      <c r="H51" s="13" t="s">
        <v>93</v>
      </c>
      <c r="I51" s="13" t="s">
        <v>1274</v>
      </c>
      <c r="J51" s="13" t="s">
        <v>1292</v>
      </c>
      <c r="K51" s="13" t="s">
        <v>1624</v>
      </c>
      <c r="L51" s="14" t="s">
        <v>1625</v>
      </c>
      <c r="M51" s="14" t="s">
        <v>41</v>
      </c>
      <c r="N51" s="14"/>
      <c r="O51" s="14" t="s">
        <v>41</v>
      </c>
      <c r="P51" s="14" t="s">
        <v>41</v>
      </c>
      <c r="Q51" s="14" t="s">
        <v>1626</v>
      </c>
      <c r="R51" s="14" t="s">
        <v>41</v>
      </c>
      <c r="S51" s="14"/>
      <c r="T51" s="14" t="s">
        <v>1269</v>
      </c>
    </row>
    <row r="52" customFormat="false" ht="35.05" hidden="false" customHeight="false" outlineLevel="0" collapsed="false">
      <c r="A52" s="12" t="s">
        <v>1620</v>
      </c>
      <c r="B52" s="12" t="s">
        <v>49</v>
      </c>
      <c r="C52" s="12" t="s">
        <v>164</v>
      </c>
      <c r="D52" s="13" t="s">
        <v>1621</v>
      </c>
      <c r="E52" s="13" t="s">
        <v>1622</v>
      </c>
      <c r="F52" s="13" t="s">
        <v>1623</v>
      </c>
      <c r="G52" s="13" t="s">
        <v>144</v>
      </c>
      <c r="H52" s="13" t="s">
        <v>1627</v>
      </c>
      <c r="I52" s="13" t="s">
        <v>1628</v>
      </c>
      <c r="J52" s="13" t="s">
        <v>1629</v>
      </c>
      <c r="K52" s="13" t="s">
        <v>1624</v>
      </c>
      <c r="L52" s="14" t="s">
        <v>1630</v>
      </c>
      <c r="M52" s="14" t="s">
        <v>41</v>
      </c>
      <c r="N52" s="14"/>
      <c r="O52" s="14" t="s">
        <v>41</v>
      </c>
      <c r="P52" s="14" t="s">
        <v>41</v>
      </c>
      <c r="Q52" s="14" t="s">
        <v>1631</v>
      </c>
      <c r="R52" s="14" t="s">
        <v>41</v>
      </c>
      <c r="S52" s="14"/>
      <c r="T52" s="14" t="s">
        <v>1269</v>
      </c>
    </row>
    <row r="53" customFormat="false" ht="23.85" hidden="false" customHeight="false" outlineLevel="0" collapsed="false">
      <c r="A53" s="12" t="s">
        <v>1632</v>
      </c>
      <c r="B53" s="12" t="s">
        <v>49</v>
      </c>
      <c r="C53" s="12" t="s">
        <v>142</v>
      </c>
      <c r="D53" s="13" t="s">
        <v>1633</v>
      </c>
      <c r="E53" s="13" t="s">
        <v>1634</v>
      </c>
      <c r="F53" s="13" t="s">
        <v>1635</v>
      </c>
      <c r="G53" s="13" t="s">
        <v>144</v>
      </c>
      <c r="H53" s="13"/>
      <c r="I53" s="13" t="s">
        <v>1636</v>
      </c>
      <c r="J53" s="13" t="s">
        <v>1637</v>
      </c>
      <c r="K53" s="13" t="s">
        <v>1638</v>
      </c>
      <c r="L53" s="14" t="s">
        <v>1639</v>
      </c>
      <c r="M53" s="14" t="s">
        <v>41</v>
      </c>
      <c r="N53" s="14"/>
      <c r="O53" s="14" t="s">
        <v>41</v>
      </c>
      <c r="P53" s="14" t="s">
        <v>41</v>
      </c>
      <c r="Q53" s="14" t="s">
        <v>1640</v>
      </c>
      <c r="R53" s="14" t="s">
        <v>41</v>
      </c>
      <c r="S53" s="14"/>
      <c r="T53" s="14" t="s">
        <v>1269</v>
      </c>
    </row>
    <row r="54" customFormat="false" ht="35.05" hidden="false" customHeight="false" outlineLevel="0" collapsed="false">
      <c r="A54" s="12" t="s">
        <v>1632</v>
      </c>
      <c r="B54" s="12" t="s">
        <v>49</v>
      </c>
      <c r="C54" s="12" t="s">
        <v>164</v>
      </c>
      <c r="D54" s="13" t="s">
        <v>1633</v>
      </c>
      <c r="E54" s="13" t="s">
        <v>1634</v>
      </c>
      <c r="F54" s="13" t="s">
        <v>1635</v>
      </c>
      <c r="G54" s="13" t="s">
        <v>144</v>
      </c>
      <c r="H54" s="13" t="s">
        <v>93</v>
      </c>
      <c r="I54" s="13" t="s">
        <v>1264</v>
      </c>
      <c r="J54" s="13" t="s">
        <v>1641</v>
      </c>
      <c r="K54" s="13" t="s">
        <v>1638</v>
      </c>
      <c r="L54" s="14" t="s">
        <v>1452</v>
      </c>
      <c r="M54" s="14" t="s">
        <v>41</v>
      </c>
      <c r="N54" s="14"/>
      <c r="O54" s="14" t="s">
        <v>41</v>
      </c>
      <c r="P54" s="14" t="s">
        <v>41</v>
      </c>
      <c r="Q54" s="14" t="s">
        <v>1642</v>
      </c>
      <c r="R54" s="14" t="s">
        <v>41</v>
      </c>
      <c r="S54" s="14"/>
      <c r="T54" s="14" t="s">
        <v>1269</v>
      </c>
    </row>
    <row r="55" customFormat="false" ht="35.05" hidden="false" customHeight="false" outlineLevel="0" collapsed="false">
      <c r="A55" s="12" t="s">
        <v>1643</v>
      </c>
      <c r="B55" s="12" t="s">
        <v>49</v>
      </c>
      <c r="C55" s="12" t="s">
        <v>142</v>
      </c>
      <c r="D55" s="13" t="s">
        <v>1644</v>
      </c>
      <c r="E55" s="13" t="s">
        <v>1645</v>
      </c>
      <c r="F55" s="13" t="s">
        <v>1646</v>
      </c>
      <c r="G55" s="13" t="s">
        <v>144</v>
      </c>
      <c r="H55" s="13" t="s">
        <v>95</v>
      </c>
      <c r="I55" s="13" t="s">
        <v>1647</v>
      </c>
      <c r="J55" s="13" t="s">
        <v>1648</v>
      </c>
      <c r="K55" s="13" t="s">
        <v>1649</v>
      </c>
      <c r="L55" s="14" t="s">
        <v>1334</v>
      </c>
      <c r="M55" s="14" t="s">
        <v>44</v>
      </c>
      <c r="N55" s="14" t="s">
        <v>1650</v>
      </c>
      <c r="O55" s="14" t="s">
        <v>44</v>
      </c>
      <c r="P55" s="14" t="s">
        <v>44</v>
      </c>
      <c r="Q55" s="14" t="s">
        <v>1651</v>
      </c>
      <c r="R55" s="14" t="s">
        <v>41</v>
      </c>
      <c r="S55" s="14"/>
      <c r="T55" s="14" t="s">
        <v>1269</v>
      </c>
    </row>
    <row r="56" customFormat="false" ht="35.05" hidden="false" customHeight="false" outlineLevel="0" collapsed="false">
      <c r="A56" s="12" t="s">
        <v>1643</v>
      </c>
      <c r="B56" s="12" t="s">
        <v>49</v>
      </c>
      <c r="C56" s="12" t="s">
        <v>164</v>
      </c>
      <c r="D56" s="13" t="s">
        <v>1644</v>
      </c>
      <c r="E56" s="13" t="s">
        <v>1645</v>
      </c>
      <c r="F56" s="13" t="s">
        <v>1646</v>
      </c>
      <c r="G56" s="13" t="s">
        <v>144</v>
      </c>
      <c r="H56" s="13" t="s">
        <v>93</v>
      </c>
      <c r="I56" s="13" t="s">
        <v>1264</v>
      </c>
      <c r="J56" s="13" t="s">
        <v>1568</v>
      </c>
      <c r="K56" s="13" t="s">
        <v>1649</v>
      </c>
      <c r="L56" s="14" t="s">
        <v>1334</v>
      </c>
      <c r="M56" s="14" t="s">
        <v>44</v>
      </c>
      <c r="N56" s="14" t="s">
        <v>1650</v>
      </c>
      <c r="O56" s="14" t="s">
        <v>44</v>
      </c>
      <c r="P56" s="14" t="s">
        <v>44</v>
      </c>
      <c r="Q56" s="14" t="s">
        <v>1652</v>
      </c>
      <c r="R56" s="14" t="s">
        <v>41</v>
      </c>
      <c r="S56" s="14"/>
      <c r="T56" s="14" t="s">
        <v>1269</v>
      </c>
    </row>
    <row r="57" customFormat="false" ht="35.05" hidden="false" customHeight="false" outlineLevel="0" collapsed="false">
      <c r="A57" s="12" t="s">
        <v>1653</v>
      </c>
      <c r="B57" s="12" t="s">
        <v>49</v>
      </c>
      <c r="C57" s="12" t="s">
        <v>142</v>
      </c>
      <c r="D57" s="13" t="s">
        <v>1654</v>
      </c>
      <c r="E57" s="13" t="s">
        <v>1655</v>
      </c>
      <c r="F57" s="13" t="s">
        <v>1656</v>
      </c>
      <c r="G57" s="13" t="s">
        <v>144</v>
      </c>
      <c r="H57" s="13" t="s">
        <v>93</v>
      </c>
      <c r="I57" s="13" t="s">
        <v>1274</v>
      </c>
      <c r="J57" s="13" t="s">
        <v>1657</v>
      </c>
      <c r="K57" s="13" t="s">
        <v>1658</v>
      </c>
      <c r="L57" s="14" t="s">
        <v>1334</v>
      </c>
      <c r="M57" s="14" t="s">
        <v>44</v>
      </c>
      <c r="N57" s="14" t="s">
        <v>1659</v>
      </c>
      <c r="O57" s="14" t="s">
        <v>44</v>
      </c>
      <c r="P57" s="14" t="s">
        <v>41</v>
      </c>
      <c r="Q57" s="14" t="s">
        <v>1660</v>
      </c>
      <c r="R57" s="14" t="s">
        <v>41</v>
      </c>
      <c r="S57" s="14"/>
      <c r="T57" s="14" t="s">
        <v>1269</v>
      </c>
    </row>
    <row r="58" customFormat="false" ht="35.05" hidden="false" customHeight="false" outlineLevel="0" collapsed="false">
      <c r="A58" s="12" t="s">
        <v>1653</v>
      </c>
      <c r="B58" s="12" t="s">
        <v>49</v>
      </c>
      <c r="C58" s="12" t="s">
        <v>164</v>
      </c>
      <c r="D58" s="13" t="s">
        <v>1654</v>
      </c>
      <c r="E58" s="13" t="s">
        <v>1655</v>
      </c>
      <c r="F58" s="13" t="s">
        <v>1656</v>
      </c>
      <c r="G58" s="13" t="s">
        <v>144</v>
      </c>
      <c r="H58" s="13" t="s">
        <v>93</v>
      </c>
      <c r="I58" s="13" t="s">
        <v>1274</v>
      </c>
      <c r="J58" s="13" t="s">
        <v>1275</v>
      </c>
      <c r="K58" s="13" t="s">
        <v>1658</v>
      </c>
      <c r="L58" s="14" t="s">
        <v>1334</v>
      </c>
      <c r="M58" s="14" t="s">
        <v>44</v>
      </c>
      <c r="N58" s="14" t="s">
        <v>1659</v>
      </c>
      <c r="O58" s="14" t="s">
        <v>44</v>
      </c>
      <c r="P58" s="14" t="s">
        <v>41</v>
      </c>
      <c r="Q58" s="14" t="s">
        <v>1661</v>
      </c>
      <c r="R58" s="14" t="s">
        <v>41</v>
      </c>
      <c r="S58" s="14"/>
      <c r="T58" s="14" t="s">
        <v>1269</v>
      </c>
    </row>
    <row r="59" customFormat="false" ht="23.85" hidden="false" customHeight="false" outlineLevel="0" collapsed="false">
      <c r="A59" s="12" t="s">
        <v>1653</v>
      </c>
      <c r="B59" s="12" t="s">
        <v>49</v>
      </c>
      <c r="C59" s="12" t="s">
        <v>386</v>
      </c>
      <c r="D59" s="13" t="s">
        <v>1654</v>
      </c>
      <c r="E59" s="13" t="s">
        <v>1655</v>
      </c>
      <c r="F59" s="13" t="s">
        <v>1656</v>
      </c>
      <c r="G59" s="13" t="s">
        <v>144</v>
      </c>
      <c r="H59" s="13" t="s">
        <v>95</v>
      </c>
      <c r="I59" s="13" t="s">
        <v>1605</v>
      </c>
      <c r="J59" s="13" t="s">
        <v>1662</v>
      </c>
      <c r="K59" s="13" t="s">
        <v>1658</v>
      </c>
      <c r="L59" s="14" t="s">
        <v>1334</v>
      </c>
      <c r="M59" s="14" t="s">
        <v>44</v>
      </c>
      <c r="N59" s="14" t="s">
        <v>1659</v>
      </c>
      <c r="O59" s="14" t="s">
        <v>44</v>
      </c>
      <c r="P59" s="14" t="s">
        <v>44</v>
      </c>
      <c r="Q59" s="14" t="s">
        <v>1663</v>
      </c>
      <c r="R59" s="14" t="s">
        <v>41</v>
      </c>
      <c r="S59" s="14"/>
      <c r="T59" s="14" t="s">
        <v>1269</v>
      </c>
    </row>
    <row r="60" customFormat="false" ht="23.85" hidden="false" customHeight="false" outlineLevel="0" collapsed="false">
      <c r="A60" s="12" t="s">
        <v>1653</v>
      </c>
      <c r="B60" s="12" t="s">
        <v>49</v>
      </c>
      <c r="C60" s="12" t="s">
        <v>1396</v>
      </c>
      <c r="D60" s="13" t="s">
        <v>1654</v>
      </c>
      <c r="E60" s="13" t="s">
        <v>1655</v>
      </c>
      <c r="F60" s="13" t="s">
        <v>1656</v>
      </c>
      <c r="G60" s="13" t="s">
        <v>144</v>
      </c>
      <c r="H60" s="13"/>
      <c r="I60" s="13" t="s">
        <v>387</v>
      </c>
      <c r="J60" s="13"/>
      <c r="K60" s="13" t="s">
        <v>1658</v>
      </c>
      <c r="L60" s="14"/>
      <c r="M60" s="14"/>
      <c r="N60" s="14"/>
      <c r="O60" s="14"/>
      <c r="P60" s="14" t="s">
        <v>43</v>
      </c>
      <c r="Q60" s="14"/>
      <c r="R60" s="14"/>
      <c r="S60" s="14"/>
      <c r="T60" s="14"/>
    </row>
    <row r="61" customFormat="false" ht="23.85" hidden="false" customHeight="false" outlineLevel="0" collapsed="false">
      <c r="A61" s="12" t="s">
        <v>1653</v>
      </c>
      <c r="B61" s="12" t="s">
        <v>49</v>
      </c>
      <c r="C61" s="12" t="s">
        <v>1664</v>
      </c>
      <c r="D61" s="13" t="s">
        <v>1654</v>
      </c>
      <c r="E61" s="13" t="s">
        <v>1655</v>
      </c>
      <c r="F61" s="13" t="s">
        <v>1656</v>
      </c>
      <c r="G61" s="13" t="s">
        <v>144</v>
      </c>
      <c r="H61" s="13"/>
      <c r="I61" s="13" t="s">
        <v>387</v>
      </c>
      <c r="J61" s="13"/>
      <c r="K61" s="13" t="s">
        <v>1658</v>
      </c>
      <c r="L61" s="14"/>
      <c r="M61" s="14"/>
      <c r="N61" s="14"/>
      <c r="O61" s="14"/>
      <c r="P61" s="14" t="s">
        <v>43</v>
      </c>
      <c r="Q61" s="14"/>
      <c r="R61" s="14"/>
      <c r="S61" s="14"/>
      <c r="T61" s="14"/>
    </row>
    <row r="62" customFormat="false" ht="35.05" hidden="false" customHeight="false" outlineLevel="0" collapsed="false">
      <c r="A62" s="12" t="s">
        <v>1665</v>
      </c>
      <c r="B62" s="12" t="s">
        <v>49</v>
      </c>
      <c r="C62" s="12" t="s">
        <v>142</v>
      </c>
      <c r="D62" s="13" t="s">
        <v>1666</v>
      </c>
      <c r="E62" s="13" t="s">
        <v>1667</v>
      </c>
      <c r="F62" s="13" t="s">
        <v>1668</v>
      </c>
      <c r="G62" s="13" t="s">
        <v>144</v>
      </c>
      <c r="H62" s="13" t="s">
        <v>97</v>
      </c>
      <c r="I62" s="13" t="s">
        <v>1669</v>
      </c>
      <c r="J62" s="13" t="s">
        <v>1670</v>
      </c>
      <c r="K62" s="13" t="s">
        <v>1671</v>
      </c>
      <c r="L62" s="14" t="s">
        <v>1672</v>
      </c>
      <c r="M62" s="14" t="s">
        <v>43</v>
      </c>
      <c r="N62" s="14" t="s">
        <v>1673</v>
      </c>
      <c r="O62" s="14" t="s">
        <v>41</v>
      </c>
      <c r="P62" s="14" t="s">
        <v>43</v>
      </c>
      <c r="Q62" s="14" t="s">
        <v>1674</v>
      </c>
      <c r="R62" s="14" t="s">
        <v>41</v>
      </c>
      <c r="S62" s="14"/>
      <c r="T62" s="14" t="s">
        <v>1269</v>
      </c>
    </row>
    <row r="63" customFormat="false" ht="35.05" hidden="false" customHeight="false" outlineLevel="0" collapsed="false">
      <c r="A63" s="12" t="s">
        <v>1665</v>
      </c>
      <c r="B63" s="12" t="s">
        <v>49</v>
      </c>
      <c r="C63" s="12" t="s">
        <v>164</v>
      </c>
      <c r="D63" s="13" t="s">
        <v>1666</v>
      </c>
      <c r="E63" s="13" t="s">
        <v>1667</v>
      </c>
      <c r="F63" s="13" t="s">
        <v>1668</v>
      </c>
      <c r="G63" s="13" t="s">
        <v>144</v>
      </c>
      <c r="H63" s="13" t="s">
        <v>93</v>
      </c>
      <c r="I63" s="13" t="s">
        <v>1264</v>
      </c>
      <c r="J63" s="13" t="s">
        <v>1675</v>
      </c>
      <c r="K63" s="13" t="s">
        <v>1671</v>
      </c>
      <c r="L63" s="14" t="s">
        <v>1676</v>
      </c>
      <c r="M63" s="14" t="s">
        <v>41</v>
      </c>
      <c r="N63" s="14"/>
      <c r="O63" s="14" t="s">
        <v>41</v>
      </c>
      <c r="P63" s="14" t="s">
        <v>41</v>
      </c>
      <c r="Q63" s="14" t="s">
        <v>1677</v>
      </c>
      <c r="R63" s="14" t="s">
        <v>41</v>
      </c>
      <c r="S63" s="14"/>
      <c r="T63" s="14" t="s">
        <v>1269</v>
      </c>
    </row>
    <row r="64" customFormat="false" ht="35.05" hidden="false" customHeight="false" outlineLevel="0" collapsed="false">
      <c r="A64" s="12" t="s">
        <v>1665</v>
      </c>
      <c r="B64" s="12" t="s">
        <v>49</v>
      </c>
      <c r="C64" s="12" t="s">
        <v>386</v>
      </c>
      <c r="D64" s="13" t="s">
        <v>1666</v>
      </c>
      <c r="E64" s="13" t="s">
        <v>1667</v>
      </c>
      <c r="F64" s="13" t="s">
        <v>1668</v>
      </c>
      <c r="G64" s="13" t="s">
        <v>144</v>
      </c>
      <c r="H64" s="13"/>
      <c r="I64" s="13" t="s">
        <v>1636</v>
      </c>
      <c r="J64" s="13" t="s">
        <v>1678</v>
      </c>
      <c r="K64" s="13" t="s">
        <v>1671</v>
      </c>
      <c r="L64" s="14" t="s">
        <v>1679</v>
      </c>
      <c r="M64" s="14" t="s">
        <v>41</v>
      </c>
      <c r="N64" s="14"/>
      <c r="O64" s="14" t="s">
        <v>41</v>
      </c>
      <c r="P64" s="14" t="s">
        <v>41</v>
      </c>
      <c r="Q64" s="14" t="s">
        <v>1680</v>
      </c>
      <c r="R64" s="14" t="s">
        <v>41</v>
      </c>
      <c r="S64" s="14"/>
      <c r="T64" s="14" t="s">
        <v>1269</v>
      </c>
    </row>
    <row r="65" customFormat="false" ht="35.05" hidden="false" customHeight="false" outlineLevel="0" collapsed="false">
      <c r="A65" s="12" t="s">
        <v>1665</v>
      </c>
      <c r="B65" s="12" t="s">
        <v>49</v>
      </c>
      <c r="C65" s="12" t="s">
        <v>409</v>
      </c>
      <c r="D65" s="13" t="s">
        <v>1666</v>
      </c>
      <c r="E65" s="13" t="s">
        <v>1667</v>
      </c>
      <c r="F65" s="13" t="s">
        <v>1668</v>
      </c>
      <c r="G65" s="13" t="s">
        <v>144</v>
      </c>
      <c r="H65" s="13"/>
      <c r="I65" s="13" t="s">
        <v>1681</v>
      </c>
      <c r="J65" s="13" t="s">
        <v>1682</v>
      </c>
      <c r="K65" s="13" t="s">
        <v>1671</v>
      </c>
      <c r="L65" s="14" t="s">
        <v>1683</v>
      </c>
      <c r="M65" s="14" t="s">
        <v>41</v>
      </c>
      <c r="N65" s="14"/>
      <c r="O65" s="14" t="s">
        <v>41</v>
      </c>
      <c r="P65" s="14" t="s">
        <v>41</v>
      </c>
      <c r="Q65" s="14" t="s">
        <v>1684</v>
      </c>
      <c r="R65" s="14" t="s">
        <v>41</v>
      </c>
      <c r="S65" s="14"/>
      <c r="T65" s="14" t="s">
        <v>1269</v>
      </c>
    </row>
    <row r="66" customFormat="false" ht="23.85" hidden="false" customHeight="false" outlineLevel="0" collapsed="false">
      <c r="A66" s="12" t="s">
        <v>1685</v>
      </c>
      <c r="B66" s="12" t="s">
        <v>49</v>
      </c>
      <c r="C66" s="12" t="s">
        <v>142</v>
      </c>
      <c r="D66" s="13" t="s">
        <v>1686</v>
      </c>
      <c r="E66" s="13" t="s">
        <v>1687</v>
      </c>
      <c r="F66" s="13" t="s">
        <v>1688</v>
      </c>
      <c r="G66" s="13" t="s">
        <v>144</v>
      </c>
      <c r="H66" s="13"/>
      <c r="I66" s="13" t="s">
        <v>1689</v>
      </c>
      <c r="J66" s="13" t="s">
        <v>1690</v>
      </c>
      <c r="K66" s="13" t="s">
        <v>1691</v>
      </c>
      <c r="L66" s="14" t="s">
        <v>1692</v>
      </c>
      <c r="M66" s="14" t="s">
        <v>41</v>
      </c>
      <c r="N66" s="14"/>
      <c r="O66" s="14" t="s">
        <v>44</v>
      </c>
      <c r="P66" s="14" t="s">
        <v>41</v>
      </c>
      <c r="Q66" s="14" t="s">
        <v>1693</v>
      </c>
      <c r="R66" s="14" t="s">
        <v>41</v>
      </c>
      <c r="S66" s="14"/>
      <c r="T66" s="14" t="s">
        <v>1269</v>
      </c>
    </row>
    <row r="67" customFormat="false" ht="35.05" hidden="false" customHeight="false" outlineLevel="0" collapsed="false">
      <c r="A67" s="12" t="s">
        <v>1685</v>
      </c>
      <c r="B67" s="12" t="s">
        <v>49</v>
      </c>
      <c r="C67" s="12" t="s">
        <v>164</v>
      </c>
      <c r="D67" s="13" t="s">
        <v>1686</v>
      </c>
      <c r="E67" s="13" t="s">
        <v>1687</v>
      </c>
      <c r="F67" s="13" t="s">
        <v>1688</v>
      </c>
      <c r="G67" s="13" t="s">
        <v>144</v>
      </c>
      <c r="H67" s="13" t="s">
        <v>93</v>
      </c>
      <c r="I67" s="13" t="s">
        <v>1264</v>
      </c>
      <c r="J67" s="13" t="s">
        <v>1694</v>
      </c>
      <c r="K67" s="13" t="s">
        <v>1691</v>
      </c>
      <c r="L67" s="14" t="s">
        <v>1695</v>
      </c>
      <c r="M67" s="14" t="s">
        <v>41</v>
      </c>
      <c r="N67" s="14"/>
      <c r="O67" s="14" t="s">
        <v>44</v>
      </c>
      <c r="P67" s="14" t="s">
        <v>41</v>
      </c>
      <c r="Q67" s="14" t="s">
        <v>1696</v>
      </c>
      <c r="R67" s="14" t="s">
        <v>41</v>
      </c>
      <c r="S67" s="14"/>
      <c r="T67" s="14" t="s">
        <v>1269</v>
      </c>
    </row>
    <row r="68" customFormat="false" ht="35.05" hidden="false" customHeight="false" outlineLevel="0" collapsed="false">
      <c r="A68" s="12" t="s">
        <v>1697</v>
      </c>
      <c r="B68" s="12" t="s">
        <v>49</v>
      </c>
      <c r="C68" s="12" t="s">
        <v>142</v>
      </c>
      <c r="D68" s="13" t="s">
        <v>1698</v>
      </c>
      <c r="E68" s="13" t="s">
        <v>1699</v>
      </c>
      <c r="F68" s="13" t="s">
        <v>1700</v>
      </c>
      <c r="G68" s="13" t="s">
        <v>144</v>
      </c>
      <c r="H68" s="13"/>
      <c r="I68" s="13" t="s">
        <v>1701</v>
      </c>
      <c r="J68" s="13" t="s">
        <v>1702</v>
      </c>
      <c r="K68" s="13" t="s">
        <v>1703</v>
      </c>
      <c r="L68" s="14" t="s">
        <v>1704</v>
      </c>
      <c r="M68" s="14" t="s">
        <v>44</v>
      </c>
      <c r="N68" s="14" t="s">
        <v>1705</v>
      </c>
      <c r="O68" s="14" t="s">
        <v>44</v>
      </c>
      <c r="P68" s="14" t="s">
        <v>44</v>
      </c>
      <c r="Q68" s="14" t="s">
        <v>1706</v>
      </c>
      <c r="R68" s="14" t="s">
        <v>41</v>
      </c>
      <c r="S68" s="14"/>
      <c r="T68" s="14" t="s">
        <v>1269</v>
      </c>
    </row>
    <row r="69" customFormat="false" ht="35.05" hidden="false" customHeight="false" outlineLevel="0" collapsed="false">
      <c r="A69" s="12" t="s">
        <v>1697</v>
      </c>
      <c r="B69" s="12" t="s">
        <v>49</v>
      </c>
      <c r="C69" s="12" t="s">
        <v>164</v>
      </c>
      <c r="D69" s="13" t="s">
        <v>1698</v>
      </c>
      <c r="E69" s="13" t="s">
        <v>1699</v>
      </c>
      <c r="F69" s="13" t="s">
        <v>1700</v>
      </c>
      <c r="G69" s="13" t="s">
        <v>144</v>
      </c>
      <c r="H69" s="13" t="s">
        <v>93</v>
      </c>
      <c r="I69" s="13" t="s">
        <v>1274</v>
      </c>
      <c r="J69" s="13" t="s">
        <v>1275</v>
      </c>
      <c r="K69" s="13" t="s">
        <v>1703</v>
      </c>
      <c r="L69" s="14" t="s">
        <v>1704</v>
      </c>
      <c r="M69" s="14" t="s">
        <v>44</v>
      </c>
      <c r="N69" s="14" t="s">
        <v>1705</v>
      </c>
      <c r="O69" s="14" t="s">
        <v>44</v>
      </c>
      <c r="P69" s="14" t="s">
        <v>44</v>
      </c>
      <c r="Q69" s="14" t="s">
        <v>1661</v>
      </c>
      <c r="R69" s="14" t="s">
        <v>41</v>
      </c>
      <c r="S69" s="14"/>
      <c r="T69" s="14" t="s">
        <v>1269</v>
      </c>
    </row>
    <row r="70" customFormat="false" ht="35.05" hidden="false" customHeight="false" outlineLevel="0" collapsed="false">
      <c r="A70" s="12" t="s">
        <v>1707</v>
      </c>
      <c r="B70" s="12" t="s">
        <v>49</v>
      </c>
      <c r="C70" s="12" t="s">
        <v>142</v>
      </c>
      <c r="D70" s="13" t="s">
        <v>1708</v>
      </c>
      <c r="E70" s="13" t="s">
        <v>1709</v>
      </c>
      <c r="F70" s="13" t="s">
        <v>1710</v>
      </c>
      <c r="G70" s="13" t="s">
        <v>144</v>
      </c>
      <c r="H70" s="13" t="s">
        <v>93</v>
      </c>
      <c r="I70" s="13" t="s">
        <v>1264</v>
      </c>
      <c r="J70" s="13" t="s">
        <v>1711</v>
      </c>
      <c r="K70" s="13" t="s">
        <v>1712</v>
      </c>
      <c r="L70" s="14" t="s">
        <v>1334</v>
      </c>
      <c r="M70" s="14" t="s">
        <v>44</v>
      </c>
      <c r="N70" s="14" t="s">
        <v>1650</v>
      </c>
      <c r="O70" s="14" t="s">
        <v>44</v>
      </c>
      <c r="P70" s="14" t="s">
        <v>44</v>
      </c>
      <c r="Q70" s="14" t="s">
        <v>1713</v>
      </c>
      <c r="R70" s="14" t="s">
        <v>41</v>
      </c>
      <c r="S70" s="14"/>
      <c r="T70" s="14" t="s">
        <v>1269</v>
      </c>
    </row>
    <row r="71" customFormat="false" ht="46.25" hidden="false" customHeight="false" outlineLevel="0" collapsed="false">
      <c r="A71" s="12" t="s">
        <v>1707</v>
      </c>
      <c r="B71" s="12" t="s">
        <v>49</v>
      </c>
      <c r="C71" s="12" t="s">
        <v>164</v>
      </c>
      <c r="D71" s="13" t="s">
        <v>1708</v>
      </c>
      <c r="E71" s="13" t="s">
        <v>1709</v>
      </c>
      <c r="F71" s="13" t="s">
        <v>1710</v>
      </c>
      <c r="G71" s="13" t="s">
        <v>144</v>
      </c>
      <c r="H71" s="13" t="s">
        <v>95</v>
      </c>
      <c r="I71" s="13" t="s">
        <v>1647</v>
      </c>
      <c r="J71" s="13" t="s">
        <v>1714</v>
      </c>
      <c r="K71" s="13" t="s">
        <v>1712</v>
      </c>
      <c r="L71" s="14" t="s">
        <v>1334</v>
      </c>
      <c r="M71" s="14" t="s">
        <v>44</v>
      </c>
      <c r="N71" s="14" t="s">
        <v>1650</v>
      </c>
      <c r="O71" s="14" t="s">
        <v>44</v>
      </c>
      <c r="P71" s="14" t="s">
        <v>44</v>
      </c>
      <c r="Q71" s="14" t="s">
        <v>1715</v>
      </c>
      <c r="R71" s="14" t="s">
        <v>41</v>
      </c>
      <c r="S71" s="14"/>
      <c r="T71" s="14" t="s">
        <v>1269</v>
      </c>
    </row>
    <row r="72" customFormat="false" ht="35.05" hidden="false" customHeight="false" outlineLevel="0" collapsed="false">
      <c r="A72" s="12" t="s">
        <v>1707</v>
      </c>
      <c r="B72" s="12" t="s">
        <v>49</v>
      </c>
      <c r="C72" s="12" t="s">
        <v>386</v>
      </c>
      <c r="D72" s="13" t="s">
        <v>1708</v>
      </c>
      <c r="E72" s="13" t="s">
        <v>1709</v>
      </c>
      <c r="F72" s="13" t="s">
        <v>1710</v>
      </c>
      <c r="G72" s="13" t="s">
        <v>144</v>
      </c>
      <c r="H72" s="13" t="s">
        <v>95</v>
      </c>
      <c r="I72" s="13" t="s">
        <v>1605</v>
      </c>
      <c r="J72" s="13" t="s">
        <v>1716</v>
      </c>
      <c r="K72" s="13" t="s">
        <v>1712</v>
      </c>
      <c r="L72" s="14" t="s">
        <v>1334</v>
      </c>
      <c r="M72" s="14" t="s">
        <v>44</v>
      </c>
      <c r="N72" s="14" t="s">
        <v>1650</v>
      </c>
      <c r="O72" s="14" t="s">
        <v>44</v>
      </c>
      <c r="P72" s="14" t="s">
        <v>44</v>
      </c>
      <c r="Q72" s="14" t="s">
        <v>1717</v>
      </c>
      <c r="R72" s="14" t="s">
        <v>41</v>
      </c>
      <c r="S72" s="14"/>
      <c r="T72" s="14" t="s">
        <v>1269</v>
      </c>
    </row>
  </sheetData>
  <conditionalFormatting sqref="M5:M72">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O5:O72">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conditionalFormatting sqref="P5:P72">
    <cfRule type="cellIs" priority="14" operator="equal" aboveAverage="0" equalAverage="0" bottom="0" percent="0" rank="0" text="" dxfId="0">
      <formula>"Correct"</formula>
    </cfRule>
    <cfRule type="cellIs" priority="15" operator="equal" aboveAverage="0" equalAverage="0" bottom="0" percent="0" rank="0" text="" dxfId="1">
      <formula>"Safe ask"</formula>
    </cfRule>
    <cfRule type="cellIs" priority="16" operator="equal" aboveAverage="0" equalAverage="0" bottom="0" percent="0" rank="0" text="" dxfId="2">
      <formula>"Silent wrong"</formula>
    </cfRule>
    <cfRule type="cellIs" priority="17" operator="equal" aboveAverage="0" equalAverage="0" bottom="0" percent="0" rank="0" text="" dxfId="3">
      <formula>"Missed"</formula>
    </cfRule>
    <cfRule type="cellIs" priority="18" operator="equal" aboveAverage="0" equalAverage="0" bottom="0" percent="0" rank="0" text="" dxfId="0">
      <formula>"Y"</formula>
    </cfRule>
    <cfRule type="cellIs" priority="19" operator="equal" aboveAverage="0" equalAverage="0" bottom="0" percent="0" rank="0" text="" dxfId="2">
      <formula>"N"</formula>
    </cfRule>
  </conditionalFormatting>
  <conditionalFormatting sqref="R5:R72">
    <cfRule type="cellIs" priority="20" operator="equal" aboveAverage="0" equalAverage="0" bottom="0" percent="0" rank="0" text="" dxfId="0">
      <formula>"Correct"</formula>
    </cfRule>
    <cfRule type="cellIs" priority="21" operator="equal" aboveAverage="0" equalAverage="0" bottom="0" percent="0" rank="0" text="" dxfId="1">
      <formula>"Safe ask"</formula>
    </cfRule>
    <cfRule type="cellIs" priority="22" operator="equal" aboveAverage="0" equalAverage="0" bottom="0" percent="0" rank="0" text="" dxfId="2">
      <formula>"Silent wrong"</formula>
    </cfRule>
    <cfRule type="cellIs" priority="23" operator="equal" aboveAverage="0" equalAverage="0" bottom="0" percent="0" rank="0" text="" dxfId="3">
      <formula>"Missed"</formula>
    </cfRule>
    <cfRule type="cellIs" priority="24" operator="equal" aboveAverage="0" equalAverage="0" bottom="0" percent="0" rank="0" text="" dxfId="0">
      <formula>"Y"</formula>
    </cfRule>
    <cfRule type="cellIs" priority="25"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1718</v>
      </c>
    </row>
    <row r="2" customFormat="false" ht="15" hidden="false" customHeight="false" outlineLevel="0" collapsed="false">
      <c r="A2" s="2" t="s">
        <v>1719</v>
      </c>
    </row>
    <row r="3" customFormat="false" ht="15" hidden="false" customHeight="false" outlineLevel="0" collapsed="false">
      <c r="A3" s="2" t="s">
        <v>1720</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1256</v>
      </c>
      <c r="P4" s="8" t="s">
        <v>1257</v>
      </c>
      <c r="Q4" s="8" t="s">
        <v>1258</v>
      </c>
      <c r="R4" s="8" t="s">
        <v>1259</v>
      </c>
    </row>
    <row r="5" customFormat="false" ht="35.05" hidden="false" customHeight="false" outlineLevel="0" collapsed="false">
      <c r="A5" s="12" t="s">
        <v>1721</v>
      </c>
      <c r="B5" s="12" t="s">
        <v>45</v>
      </c>
      <c r="C5" s="12" t="s">
        <v>142</v>
      </c>
      <c r="D5" s="13" t="s">
        <v>1722</v>
      </c>
      <c r="E5" s="13" t="s">
        <v>1723</v>
      </c>
      <c r="F5" s="13" t="s">
        <v>1724</v>
      </c>
      <c r="G5" s="13" t="s">
        <v>144</v>
      </c>
      <c r="H5" s="13" t="s">
        <v>95</v>
      </c>
      <c r="I5" s="13" t="s">
        <v>1647</v>
      </c>
      <c r="J5" s="13" t="s">
        <v>1725</v>
      </c>
      <c r="K5" s="13" t="s">
        <v>1726</v>
      </c>
      <c r="L5" s="14" t="s">
        <v>1727</v>
      </c>
      <c r="M5" s="14" t="s">
        <v>41</v>
      </c>
      <c r="N5" s="14"/>
      <c r="O5" s="14" t="s">
        <v>1727</v>
      </c>
      <c r="P5" s="14" t="s">
        <v>41</v>
      </c>
      <c r="Q5" s="14"/>
      <c r="R5" s="14" t="s">
        <v>1728</v>
      </c>
    </row>
    <row r="6" customFormat="false" ht="23.85" hidden="false" customHeight="false" outlineLevel="0" collapsed="false">
      <c r="A6" s="12" t="s">
        <v>1729</v>
      </c>
      <c r="B6" s="12" t="s">
        <v>45</v>
      </c>
      <c r="C6" s="12" t="s">
        <v>142</v>
      </c>
      <c r="D6" s="13" t="s">
        <v>1730</v>
      </c>
      <c r="E6" s="13" t="s">
        <v>1731</v>
      </c>
      <c r="F6" s="13" t="s">
        <v>1732</v>
      </c>
      <c r="G6" s="13" t="s">
        <v>144</v>
      </c>
      <c r="H6" s="13" t="s">
        <v>95</v>
      </c>
      <c r="I6" s="13" t="s">
        <v>1605</v>
      </c>
      <c r="J6" s="13" t="s">
        <v>1733</v>
      </c>
      <c r="K6" s="13" t="s">
        <v>1734</v>
      </c>
      <c r="L6" s="14" t="s">
        <v>1735</v>
      </c>
      <c r="M6" s="14" t="s">
        <v>41</v>
      </c>
      <c r="N6" s="14"/>
      <c r="O6" s="14" t="s">
        <v>1735</v>
      </c>
      <c r="P6" s="14" t="s">
        <v>41</v>
      </c>
      <c r="Q6" s="14"/>
      <c r="R6" s="14" t="s">
        <v>1728</v>
      </c>
    </row>
    <row r="7" customFormat="false" ht="46.25" hidden="false" customHeight="false" outlineLevel="0" collapsed="false">
      <c r="A7" s="12" t="s">
        <v>1736</v>
      </c>
      <c r="B7" s="12" t="s">
        <v>45</v>
      </c>
      <c r="C7" s="12" t="s">
        <v>142</v>
      </c>
      <c r="D7" s="13" t="s">
        <v>1737</v>
      </c>
      <c r="E7" s="13" t="s">
        <v>1738</v>
      </c>
      <c r="F7" s="13" t="s">
        <v>1739</v>
      </c>
      <c r="G7" s="13" t="s">
        <v>144</v>
      </c>
      <c r="H7" s="13" t="s">
        <v>95</v>
      </c>
      <c r="I7" s="13" t="s">
        <v>1647</v>
      </c>
      <c r="J7" s="13" t="s">
        <v>1740</v>
      </c>
      <c r="K7" s="13" t="s">
        <v>1741</v>
      </c>
      <c r="L7" s="14" t="s">
        <v>1742</v>
      </c>
      <c r="M7" s="14" t="s">
        <v>41</v>
      </c>
      <c r="N7" s="14"/>
      <c r="O7" s="14" t="s">
        <v>1743</v>
      </c>
      <c r="P7" s="14" t="s">
        <v>41</v>
      </c>
      <c r="Q7" s="14"/>
      <c r="R7" s="14" t="s">
        <v>1728</v>
      </c>
    </row>
    <row r="8" customFormat="false" ht="46.25" hidden="false" customHeight="false" outlineLevel="0" collapsed="false">
      <c r="A8" s="12" t="s">
        <v>1744</v>
      </c>
      <c r="B8" s="12" t="s">
        <v>45</v>
      </c>
      <c r="C8" s="12" t="s">
        <v>142</v>
      </c>
      <c r="D8" s="13" t="s">
        <v>1745</v>
      </c>
      <c r="E8" s="13" t="s">
        <v>1746</v>
      </c>
      <c r="F8" s="13" t="s">
        <v>1747</v>
      </c>
      <c r="G8" s="13" t="s">
        <v>144</v>
      </c>
      <c r="H8" s="13" t="s">
        <v>95</v>
      </c>
      <c r="I8" s="13" t="s">
        <v>1647</v>
      </c>
      <c r="J8" s="13" t="s">
        <v>1748</v>
      </c>
      <c r="K8" s="13" t="s">
        <v>1749</v>
      </c>
      <c r="L8" s="14" t="s">
        <v>1750</v>
      </c>
      <c r="M8" s="14" t="s">
        <v>43</v>
      </c>
      <c r="N8" s="14" t="s">
        <v>1751</v>
      </c>
      <c r="O8" s="14" t="s">
        <v>1752</v>
      </c>
      <c r="P8" s="14" t="s">
        <v>41</v>
      </c>
      <c r="Q8" s="14"/>
      <c r="R8" s="14" t="s">
        <v>1728</v>
      </c>
    </row>
    <row r="9" customFormat="false" ht="35.05" hidden="false" customHeight="false" outlineLevel="0" collapsed="false">
      <c r="A9" s="12" t="s">
        <v>1753</v>
      </c>
      <c r="B9" s="12" t="s">
        <v>45</v>
      </c>
      <c r="C9" s="12" t="s">
        <v>142</v>
      </c>
      <c r="D9" s="13" t="s">
        <v>1754</v>
      </c>
      <c r="E9" s="13" t="s">
        <v>1755</v>
      </c>
      <c r="F9" s="13" t="s">
        <v>1756</v>
      </c>
      <c r="G9" s="13" t="s">
        <v>144</v>
      </c>
      <c r="H9" s="13" t="s">
        <v>95</v>
      </c>
      <c r="I9" s="13" t="s">
        <v>1605</v>
      </c>
      <c r="J9" s="13" t="s">
        <v>1757</v>
      </c>
      <c r="K9" s="13" t="s">
        <v>1758</v>
      </c>
      <c r="L9" s="14" t="s">
        <v>1759</v>
      </c>
      <c r="M9" s="14" t="s">
        <v>41</v>
      </c>
      <c r="N9" s="14"/>
      <c r="O9" s="14" t="s">
        <v>1759</v>
      </c>
      <c r="P9" s="14" t="s">
        <v>41</v>
      </c>
      <c r="Q9" s="14"/>
      <c r="R9" s="14" t="s">
        <v>1728</v>
      </c>
    </row>
    <row r="10" customFormat="false" ht="35.05" hidden="false" customHeight="false" outlineLevel="0" collapsed="false">
      <c r="A10" s="12" t="s">
        <v>1760</v>
      </c>
      <c r="B10" s="12" t="s">
        <v>45</v>
      </c>
      <c r="C10" s="12" t="s">
        <v>142</v>
      </c>
      <c r="D10" s="13" t="s">
        <v>1761</v>
      </c>
      <c r="E10" s="13" t="s">
        <v>1762</v>
      </c>
      <c r="F10" s="13" t="s">
        <v>1763</v>
      </c>
      <c r="G10" s="13" t="s">
        <v>144</v>
      </c>
      <c r="H10" s="13" t="s">
        <v>95</v>
      </c>
      <c r="I10" s="13" t="s">
        <v>1647</v>
      </c>
      <c r="J10" s="13" t="s">
        <v>1764</v>
      </c>
      <c r="K10" s="13" t="s">
        <v>1765</v>
      </c>
      <c r="L10" s="14" t="s">
        <v>1766</v>
      </c>
      <c r="M10" s="14" t="s">
        <v>41</v>
      </c>
      <c r="N10" s="14"/>
      <c r="O10" s="14" t="s">
        <v>1766</v>
      </c>
      <c r="P10" s="14" t="s">
        <v>41</v>
      </c>
      <c r="Q10" s="14"/>
      <c r="R10" s="14" t="s">
        <v>1728</v>
      </c>
    </row>
    <row r="11" customFormat="false" ht="35.05" hidden="false" customHeight="false" outlineLevel="0" collapsed="false">
      <c r="A11" s="12" t="s">
        <v>1760</v>
      </c>
      <c r="B11" s="12" t="s">
        <v>45</v>
      </c>
      <c r="C11" s="12" t="s">
        <v>164</v>
      </c>
      <c r="D11" s="13" t="s">
        <v>1761</v>
      </c>
      <c r="E11" s="13" t="s">
        <v>1762</v>
      </c>
      <c r="F11" s="13" t="s">
        <v>1763</v>
      </c>
      <c r="G11" s="13" t="s">
        <v>144</v>
      </c>
      <c r="H11" s="13" t="s">
        <v>95</v>
      </c>
      <c r="I11" s="13" t="s">
        <v>1605</v>
      </c>
      <c r="J11" s="13" t="s">
        <v>1767</v>
      </c>
      <c r="K11" s="13" t="s">
        <v>1765</v>
      </c>
      <c r="L11" s="14" t="s">
        <v>1768</v>
      </c>
      <c r="M11" s="14" t="s">
        <v>44</v>
      </c>
      <c r="N11" s="14"/>
      <c r="O11" s="14" t="s">
        <v>1769</v>
      </c>
      <c r="P11" s="14" t="s">
        <v>41</v>
      </c>
      <c r="Q11" s="14"/>
      <c r="R11" s="14" t="s">
        <v>1728</v>
      </c>
    </row>
    <row r="12" customFormat="false" ht="35.05" hidden="false" customHeight="false" outlineLevel="0" collapsed="false">
      <c r="A12" s="12" t="s">
        <v>1770</v>
      </c>
      <c r="B12" s="12" t="s">
        <v>45</v>
      </c>
      <c r="C12" s="12" t="s">
        <v>142</v>
      </c>
      <c r="D12" s="13" t="s">
        <v>1771</v>
      </c>
      <c r="E12" s="13" t="s">
        <v>1772</v>
      </c>
      <c r="F12" s="13" t="s">
        <v>1773</v>
      </c>
      <c r="G12" s="13" t="s">
        <v>144</v>
      </c>
      <c r="H12" s="13" t="s">
        <v>95</v>
      </c>
      <c r="I12" s="13" t="s">
        <v>1647</v>
      </c>
      <c r="J12" s="13" t="s">
        <v>1774</v>
      </c>
      <c r="K12" s="13" t="s">
        <v>1775</v>
      </c>
      <c r="L12" s="14" t="s">
        <v>1776</v>
      </c>
      <c r="M12" s="14" t="s">
        <v>41</v>
      </c>
      <c r="N12" s="14"/>
      <c r="O12" s="14" t="s">
        <v>1776</v>
      </c>
      <c r="P12" s="14" t="s">
        <v>41</v>
      </c>
      <c r="Q12" s="14"/>
      <c r="R12" s="14" t="s">
        <v>1728</v>
      </c>
    </row>
    <row r="13" customFormat="false" ht="35.05" hidden="false" customHeight="false" outlineLevel="0" collapsed="false">
      <c r="A13" s="12" t="s">
        <v>1770</v>
      </c>
      <c r="B13" s="12" t="s">
        <v>45</v>
      </c>
      <c r="C13" s="12" t="s">
        <v>164</v>
      </c>
      <c r="D13" s="13" t="s">
        <v>1771</v>
      </c>
      <c r="E13" s="13" t="s">
        <v>1772</v>
      </c>
      <c r="F13" s="13" t="s">
        <v>1773</v>
      </c>
      <c r="G13" s="13" t="s">
        <v>144</v>
      </c>
      <c r="H13" s="13" t="s">
        <v>95</v>
      </c>
      <c r="I13" s="13" t="s">
        <v>1605</v>
      </c>
      <c r="J13" s="13" t="s">
        <v>1777</v>
      </c>
      <c r="K13" s="13" t="s">
        <v>1775</v>
      </c>
      <c r="L13" s="14" t="s">
        <v>1778</v>
      </c>
      <c r="M13" s="14" t="s">
        <v>41</v>
      </c>
      <c r="N13" s="14"/>
      <c r="O13" s="14" t="s">
        <v>1779</v>
      </c>
      <c r="P13" s="14" t="s">
        <v>41</v>
      </c>
      <c r="Q13" s="14"/>
      <c r="R13" s="14" t="s">
        <v>1728</v>
      </c>
    </row>
    <row r="14" customFormat="false" ht="23.85" hidden="false" customHeight="false" outlineLevel="0" collapsed="false">
      <c r="A14" s="12" t="s">
        <v>1780</v>
      </c>
      <c r="B14" s="12" t="s">
        <v>45</v>
      </c>
      <c r="C14" s="12" t="s">
        <v>142</v>
      </c>
      <c r="D14" s="13" t="s">
        <v>1781</v>
      </c>
      <c r="E14" s="13" t="s">
        <v>1782</v>
      </c>
      <c r="F14" s="13" t="s">
        <v>1783</v>
      </c>
      <c r="G14" s="13" t="s">
        <v>144</v>
      </c>
      <c r="H14" s="13" t="s">
        <v>95</v>
      </c>
      <c r="I14" s="13" t="s">
        <v>1605</v>
      </c>
      <c r="J14" s="13" t="s">
        <v>1784</v>
      </c>
      <c r="K14" s="13" t="s">
        <v>1785</v>
      </c>
      <c r="L14" s="14" t="s">
        <v>1786</v>
      </c>
      <c r="M14" s="14" t="s">
        <v>41</v>
      </c>
      <c r="N14" s="14"/>
      <c r="O14" s="14" t="s">
        <v>1786</v>
      </c>
      <c r="P14" s="14" t="s">
        <v>41</v>
      </c>
      <c r="Q14" s="14"/>
      <c r="R14" s="14" t="s">
        <v>1728</v>
      </c>
    </row>
    <row r="15" customFormat="false" ht="46.25" hidden="false" customHeight="false" outlineLevel="0" collapsed="false">
      <c r="A15" s="12" t="s">
        <v>1787</v>
      </c>
      <c r="B15" s="12" t="s">
        <v>45</v>
      </c>
      <c r="C15" s="12" t="s">
        <v>142</v>
      </c>
      <c r="D15" s="13" t="s">
        <v>1788</v>
      </c>
      <c r="E15" s="13" t="s">
        <v>1789</v>
      </c>
      <c r="F15" s="13" t="s">
        <v>1790</v>
      </c>
      <c r="G15" s="13" t="s">
        <v>144</v>
      </c>
      <c r="H15" s="13" t="s">
        <v>95</v>
      </c>
      <c r="I15" s="13" t="s">
        <v>1647</v>
      </c>
      <c r="J15" s="13" t="s">
        <v>1791</v>
      </c>
      <c r="K15" s="13" t="s">
        <v>1792</v>
      </c>
      <c r="L15" s="14" t="s">
        <v>1793</v>
      </c>
      <c r="M15" s="14" t="s">
        <v>41</v>
      </c>
      <c r="N15" s="14"/>
      <c r="O15" s="14" t="s">
        <v>1793</v>
      </c>
      <c r="P15" s="14" t="s">
        <v>41</v>
      </c>
      <c r="Q15" s="14"/>
      <c r="R15" s="14" t="s">
        <v>1728</v>
      </c>
    </row>
    <row r="16" customFormat="false" ht="35.05" hidden="false" customHeight="false" outlineLevel="0" collapsed="false">
      <c r="A16" s="12" t="s">
        <v>1794</v>
      </c>
      <c r="B16" s="12" t="s">
        <v>45</v>
      </c>
      <c r="C16" s="12" t="s">
        <v>142</v>
      </c>
      <c r="D16" s="13" t="s">
        <v>1795</v>
      </c>
      <c r="E16" s="13" t="s">
        <v>1796</v>
      </c>
      <c r="F16" s="13" t="s">
        <v>1797</v>
      </c>
      <c r="G16" s="13" t="s">
        <v>144</v>
      </c>
      <c r="H16" s="13" t="s">
        <v>95</v>
      </c>
      <c r="I16" s="13" t="s">
        <v>1647</v>
      </c>
      <c r="J16" s="13" t="s">
        <v>1798</v>
      </c>
      <c r="K16" s="13" t="s">
        <v>1799</v>
      </c>
      <c r="L16" s="14" t="s">
        <v>1800</v>
      </c>
      <c r="M16" s="14" t="s">
        <v>44</v>
      </c>
      <c r="N16" s="14" t="s">
        <v>1801</v>
      </c>
      <c r="O16" s="14" t="s">
        <v>1802</v>
      </c>
      <c r="P16" s="14" t="s">
        <v>41</v>
      </c>
      <c r="Q16" s="14"/>
      <c r="R16" s="14" t="s">
        <v>1728</v>
      </c>
    </row>
    <row r="17" customFormat="false" ht="23.85" hidden="false" customHeight="false" outlineLevel="0" collapsed="false">
      <c r="A17" s="12" t="s">
        <v>1803</v>
      </c>
      <c r="B17" s="12" t="s">
        <v>46</v>
      </c>
      <c r="C17" s="12" t="s">
        <v>142</v>
      </c>
      <c r="D17" s="13" t="s">
        <v>1804</v>
      </c>
      <c r="E17" s="13" t="s">
        <v>1805</v>
      </c>
      <c r="F17" s="13" t="s">
        <v>1806</v>
      </c>
      <c r="G17" s="13" t="s">
        <v>144</v>
      </c>
      <c r="H17" s="13" t="s">
        <v>95</v>
      </c>
      <c r="I17" s="13" t="s">
        <v>1605</v>
      </c>
      <c r="J17" s="13" t="s">
        <v>1662</v>
      </c>
      <c r="K17" s="13" t="s">
        <v>1807</v>
      </c>
      <c r="L17" s="14" t="s">
        <v>1663</v>
      </c>
      <c r="M17" s="14" t="s">
        <v>41</v>
      </c>
      <c r="N17" s="14"/>
      <c r="O17" s="14" t="s">
        <v>1663</v>
      </c>
      <c r="P17" s="14" t="s">
        <v>41</v>
      </c>
      <c r="Q17" s="14"/>
      <c r="R17" s="14" t="s">
        <v>1728</v>
      </c>
    </row>
    <row r="18" customFormat="false" ht="35.05" hidden="false" customHeight="false" outlineLevel="0" collapsed="false">
      <c r="A18" s="12" t="s">
        <v>1808</v>
      </c>
      <c r="B18" s="12" t="s">
        <v>46</v>
      </c>
      <c r="C18" s="12" t="s">
        <v>142</v>
      </c>
      <c r="D18" s="13" t="s">
        <v>1809</v>
      </c>
      <c r="E18" s="13" t="s">
        <v>1810</v>
      </c>
      <c r="F18" s="13" t="s">
        <v>1811</v>
      </c>
      <c r="G18" s="13" t="s">
        <v>144</v>
      </c>
      <c r="H18" s="13" t="s">
        <v>95</v>
      </c>
      <c r="I18" s="13" t="s">
        <v>1647</v>
      </c>
      <c r="J18" s="13" t="s">
        <v>1812</v>
      </c>
      <c r="K18" s="13" t="s">
        <v>1813</v>
      </c>
      <c r="L18" s="14" t="s">
        <v>1814</v>
      </c>
      <c r="M18" s="14" t="s">
        <v>44</v>
      </c>
      <c r="N18" s="14" t="s">
        <v>242</v>
      </c>
      <c r="O18" s="14" t="s">
        <v>1815</v>
      </c>
      <c r="P18" s="14" t="s">
        <v>41</v>
      </c>
      <c r="Q18" s="14"/>
      <c r="R18" s="14" t="s">
        <v>1728</v>
      </c>
    </row>
    <row r="19" customFormat="false" ht="35.05" hidden="false" customHeight="false" outlineLevel="0" collapsed="false">
      <c r="A19" s="12" t="s">
        <v>1816</v>
      </c>
      <c r="B19" s="12" t="s">
        <v>46</v>
      </c>
      <c r="C19" s="12" t="s">
        <v>142</v>
      </c>
      <c r="D19" s="13" t="s">
        <v>1817</v>
      </c>
      <c r="E19" s="13" t="s">
        <v>1818</v>
      </c>
      <c r="F19" s="13" t="s">
        <v>1819</v>
      </c>
      <c r="G19" s="13" t="s">
        <v>144</v>
      </c>
      <c r="H19" s="13" t="s">
        <v>95</v>
      </c>
      <c r="I19" s="13" t="s">
        <v>1647</v>
      </c>
      <c r="J19" s="13" t="s">
        <v>1820</v>
      </c>
      <c r="K19" s="13" t="s">
        <v>1821</v>
      </c>
      <c r="L19" s="14" t="s">
        <v>1822</v>
      </c>
      <c r="M19" s="14" t="s">
        <v>41</v>
      </c>
      <c r="N19" s="14"/>
      <c r="O19" s="14" t="s">
        <v>1823</v>
      </c>
      <c r="P19" s="14" t="s">
        <v>41</v>
      </c>
      <c r="Q19" s="14"/>
      <c r="R19" s="14" t="s">
        <v>1728</v>
      </c>
    </row>
    <row r="20" customFormat="false" ht="46.25" hidden="false" customHeight="false" outlineLevel="0" collapsed="false">
      <c r="A20" s="12" t="s">
        <v>1824</v>
      </c>
      <c r="B20" s="12" t="s">
        <v>46</v>
      </c>
      <c r="C20" s="12" t="s">
        <v>142</v>
      </c>
      <c r="D20" s="13" t="s">
        <v>1825</v>
      </c>
      <c r="E20" s="13" t="s">
        <v>1826</v>
      </c>
      <c r="F20" s="13" t="s">
        <v>1827</v>
      </c>
      <c r="G20" s="13" t="s">
        <v>144</v>
      </c>
      <c r="H20" s="13" t="s">
        <v>95</v>
      </c>
      <c r="I20" s="13" t="s">
        <v>1647</v>
      </c>
      <c r="J20" s="13" t="s">
        <v>1828</v>
      </c>
      <c r="K20" s="13" t="s">
        <v>1829</v>
      </c>
      <c r="L20" s="14" t="s">
        <v>1830</v>
      </c>
      <c r="M20" s="14" t="s">
        <v>44</v>
      </c>
      <c r="N20" s="14" t="s">
        <v>1801</v>
      </c>
      <c r="O20" s="14" t="s">
        <v>1831</v>
      </c>
      <c r="P20" s="14" t="s">
        <v>41</v>
      </c>
      <c r="Q20" s="14"/>
      <c r="R20" s="14" t="s">
        <v>1728</v>
      </c>
    </row>
    <row r="21" customFormat="false" ht="23.85" hidden="false" customHeight="false" outlineLevel="0" collapsed="false">
      <c r="A21" s="12" t="s">
        <v>1832</v>
      </c>
      <c r="B21" s="12" t="s">
        <v>46</v>
      </c>
      <c r="C21" s="12" t="s">
        <v>142</v>
      </c>
      <c r="D21" s="13" t="s">
        <v>1833</v>
      </c>
      <c r="E21" s="13" t="s">
        <v>1834</v>
      </c>
      <c r="F21" s="13" t="s">
        <v>1835</v>
      </c>
      <c r="G21" s="13" t="s">
        <v>144</v>
      </c>
      <c r="H21" s="13" t="s">
        <v>95</v>
      </c>
      <c r="I21" s="13" t="s">
        <v>1605</v>
      </c>
      <c r="J21" s="13" t="s">
        <v>1836</v>
      </c>
      <c r="K21" s="13" t="s">
        <v>1837</v>
      </c>
      <c r="L21" s="14" t="s">
        <v>1838</v>
      </c>
      <c r="M21" s="14" t="s">
        <v>41</v>
      </c>
      <c r="N21" s="14"/>
      <c r="O21" s="14" t="s">
        <v>1838</v>
      </c>
      <c r="P21" s="14" t="s">
        <v>41</v>
      </c>
      <c r="Q21" s="14"/>
      <c r="R21" s="14" t="s">
        <v>1728</v>
      </c>
    </row>
    <row r="22" customFormat="false" ht="23.85" hidden="false" customHeight="false" outlineLevel="0" collapsed="false">
      <c r="A22" s="12" t="s">
        <v>1839</v>
      </c>
      <c r="B22" s="12" t="s">
        <v>46</v>
      </c>
      <c r="C22" s="12" t="s">
        <v>142</v>
      </c>
      <c r="D22" s="13" t="s">
        <v>1840</v>
      </c>
      <c r="E22" s="13" t="s">
        <v>1841</v>
      </c>
      <c r="F22" s="13" t="s">
        <v>1842</v>
      </c>
      <c r="G22" s="13" t="s">
        <v>144</v>
      </c>
      <c r="H22" s="13" t="s">
        <v>95</v>
      </c>
      <c r="I22" s="13" t="s">
        <v>1605</v>
      </c>
      <c r="J22" s="13" t="s">
        <v>1843</v>
      </c>
      <c r="K22" s="13" t="s">
        <v>1844</v>
      </c>
      <c r="L22" s="14" t="s">
        <v>1845</v>
      </c>
      <c r="M22" s="14" t="s">
        <v>41</v>
      </c>
      <c r="N22" s="14"/>
      <c r="O22" s="14" t="s">
        <v>1845</v>
      </c>
      <c r="P22" s="14" t="s">
        <v>41</v>
      </c>
      <c r="Q22" s="14"/>
      <c r="R22" s="14" t="s">
        <v>1728</v>
      </c>
    </row>
    <row r="23" customFormat="false" ht="35.05" hidden="false" customHeight="false" outlineLevel="0" collapsed="false">
      <c r="A23" s="12" t="s">
        <v>1846</v>
      </c>
      <c r="B23" s="12" t="s">
        <v>46</v>
      </c>
      <c r="C23" s="12" t="s">
        <v>142</v>
      </c>
      <c r="D23" s="13" t="s">
        <v>1847</v>
      </c>
      <c r="E23" s="13" t="s">
        <v>1848</v>
      </c>
      <c r="F23" s="13" t="s">
        <v>1849</v>
      </c>
      <c r="G23" s="13" t="s">
        <v>144</v>
      </c>
      <c r="H23" s="13" t="s">
        <v>95</v>
      </c>
      <c r="I23" s="13" t="s">
        <v>1605</v>
      </c>
      <c r="J23" s="13" t="s">
        <v>1716</v>
      </c>
      <c r="K23" s="13" t="s">
        <v>1850</v>
      </c>
      <c r="L23" s="14" t="s">
        <v>1814</v>
      </c>
      <c r="M23" s="14" t="s">
        <v>44</v>
      </c>
      <c r="N23" s="14" t="s">
        <v>1851</v>
      </c>
      <c r="O23" s="14" t="s">
        <v>1852</v>
      </c>
      <c r="P23" s="14" t="s">
        <v>41</v>
      </c>
      <c r="Q23" s="14"/>
      <c r="R23" s="14" t="s">
        <v>1728</v>
      </c>
    </row>
    <row r="24" customFormat="false" ht="35.05" hidden="false" customHeight="false" outlineLevel="0" collapsed="false">
      <c r="A24" s="12" t="s">
        <v>1853</v>
      </c>
      <c r="B24" s="12" t="s">
        <v>46</v>
      </c>
      <c r="C24" s="12" t="s">
        <v>142</v>
      </c>
      <c r="D24" s="13" t="s">
        <v>1854</v>
      </c>
      <c r="E24" s="13" t="s">
        <v>1855</v>
      </c>
      <c r="F24" s="13" t="s">
        <v>1856</v>
      </c>
      <c r="G24" s="13" t="s">
        <v>144</v>
      </c>
      <c r="H24" s="13" t="s">
        <v>95</v>
      </c>
      <c r="I24" s="13" t="s">
        <v>1647</v>
      </c>
      <c r="J24" s="13" t="s">
        <v>1857</v>
      </c>
      <c r="K24" s="13" t="s">
        <v>1858</v>
      </c>
      <c r="L24" s="14" t="s">
        <v>1859</v>
      </c>
      <c r="M24" s="14" t="s">
        <v>43</v>
      </c>
      <c r="N24" s="14" t="s">
        <v>1860</v>
      </c>
      <c r="O24" s="14" t="s">
        <v>1861</v>
      </c>
      <c r="P24" s="14" t="s">
        <v>41</v>
      </c>
      <c r="Q24" s="14"/>
      <c r="R24" s="14" t="s">
        <v>1728</v>
      </c>
    </row>
    <row r="25" customFormat="false" ht="35.05" hidden="false" customHeight="false" outlineLevel="0" collapsed="false">
      <c r="A25" s="12" t="s">
        <v>1862</v>
      </c>
      <c r="B25" s="12" t="s">
        <v>46</v>
      </c>
      <c r="C25" s="12" t="s">
        <v>142</v>
      </c>
      <c r="D25" s="13" t="s">
        <v>1863</v>
      </c>
      <c r="E25" s="13" t="s">
        <v>1864</v>
      </c>
      <c r="F25" s="13" t="s">
        <v>1865</v>
      </c>
      <c r="G25" s="13" t="s">
        <v>144</v>
      </c>
      <c r="H25" s="13" t="s">
        <v>95</v>
      </c>
      <c r="I25" s="13" t="s">
        <v>1647</v>
      </c>
      <c r="J25" s="13" t="s">
        <v>1866</v>
      </c>
      <c r="K25" s="13" t="s">
        <v>1867</v>
      </c>
      <c r="L25" s="14" t="s">
        <v>1868</v>
      </c>
      <c r="M25" s="14" t="s">
        <v>44</v>
      </c>
      <c r="N25" s="14" t="s">
        <v>1801</v>
      </c>
      <c r="O25" s="14" t="s">
        <v>1869</v>
      </c>
      <c r="P25" s="14" t="s">
        <v>41</v>
      </c>
      <c r="Q25" s="14"/>
      <c r="R25" s="14" t="s">
        <v>1728</v>
      </c>
    </row>
    <row r="26" customFormat="false" ht="35.05" hidden="false" customHeight="false" outlineLevel="0" collapsed="false">
      <c r="A26" s="12" t="s">
        <v>1870</v>
      </c>
      <c r="B26" s="12" t="s">
        <v>46</v>
      </c>
      <c r="C26" s="12" t="s">
        <v>142</v>
      </c>
      <c r="D26" s="13" t="s">
        <v>1871</v>
      </c>
      <c r="E26" s="13" t="s">
        <v>1872</v>
      </c>
      <c r="F26" s="13" t="s">
        <v>1873</v>
      </c>
      <c r="G26" s="13" t="s">
        <v>144</v>
      </c>
      <c r="H26" s="13" t="s">
        <v>95</v>
      </c>
      <c r="I26" s="13" t="s">
        <v>1647</v>
      </c>
      <c r="J26" s="13" t="s">
        <v>1874</v>
      </c>
      <c r="K26" s="13" t="s">
        <v>1875</v>
      </c>
      <c r="L26" s="14" t="s">
        <v>1876</v>
      </c>
      <c r="M26" s="14" t="s">
        <v>41</v>
      </c>
      <c r="N26" s="14"/>
      <c r="O26" s="14" t="s">
        <v>1876</v>
      </c>
      <c r="P26" s="14" t="s">
        <v>41</v>
      </c>
      <c r="Q26" s="14"/>
      <c r="R26" s="14" t="s">
        <v>1728</v>
      </c>
    </row>
    <row r="27" customFormat="false" ht="35.05" hidden="false" customHeight="false" outlineLevel="0" collapsed="false">
      <c r="A27" s="12" t="s">
        <v>1877</v>
      </c>
      <c r="B27" s="12" t="s">
        <v>47</v>
      </c>
      <c r="C27" s="12" t="s">
        <v>142</v>
      </c>
      <c r="D27" s="13" t="s">
        <v>1878</v>
      </c>
      <c r="E27" s="13" t="s">
        <v>1879</v>
      </c>
      <c r="F27" s="13" t="s">
        <v>1880</v>
      </c>
      <c r="G27" s="13" t="s">
        <v>206</v>
      </c>
      <c r="H27" s="13" t="s">
        <v>95</v>
      </c>
      <c r="I27" s="13" t="s">
        <v>1647</v>
      </c>
      <c r="J27" s="13" t="s">
        <v>1881</v>
      </c>
      <c r="K27" s="13" t="s">
        <v>1882</v>
      </c>
      <c r="L27" s="14" t="s">
        <v>1883</v>
      </c>
      <c r="M27" s="14" t="s">
        <v>43</v>
      </c>
      <c r="N27" s="14" t="s">
        <v>1884</v>
      </c>
      <c r="O27" s="14" t="s">
        <v>1885</v>
      </c>
      <c r="P27" s="14" t="s">
        <v>41</v>
      </c>
      <c r="Q27" s="14"/>
      <c r="R27" s="14" t="s">
        <v>1728</v>
      </c>
    </row>
    <row r="28" customFormat="false" ht="35.05" hidden="false" customHeight="false" outlineLevel="0" collapsed="false">
      <c r="A28" s="12" t="s">
        <v>1886</v>
      </c>
      <c r="B28" s="12" t="s">
        <v>47</v>
      </c>
      <c r="C28" s="12" t="s">
        <v>142</v>
      </c>
      <c r="D28" s="13" t="s">
        <v>1887</v>
      </c>
      <c r="E28" s="13" t="s">
        <v>1888</v>
      </c>
      <c r="F28" s="13" t="s">
        <v>1889</v>
      </c>
      <c r="G28" s="13" t="s">
        <v>206</v>
      </c>
      <c r="H28" s="13" t="s">
        <v>95</v>
      </c>
      <c r="I28" s="13" t="s">
        <v>1647</v>
      </c>
      <c r="J28" s="13" t="s">
        <v>1890</v>
      </c>
      <c r="K28" s="13" t="s">
        <v>1444</v>
      </c>
      <c r="L28" s="14" t="s">
        <v>1891</v>
      </c>
      <c r="M28" s="14" t="s">
        <v>43</v>
      </c>
      <c r="N28" s="14" t="s">
        <v>1884</v>
      </c>
      <c r="O28" s="14" t="s">
        <v>1885</v>
      </c>
      <c r="P28" s="14" t="s">
        <v>41</v>
      </c>
      <c r="Q28" s="14"/>
      <c r="R28" s="14" t="s">
        <v>1728</v>
      </c>
    </row>
    <row r="29" customFormat="false" ht="35.05" hidden="false" customHeight="false" outlineLevel="0" collapsed="false">
      <c r="A29" s="12" t="s">
        <v>1892</v>
      </c>
      <c r="B29" s="12" t="s">
        <v>47</v>
      </c>
      <c r="C29" s="12" t="s">
        <v>142</v>
      </c>
      <c r="D29" s="13" t="s">
        <v>1893</v>
      </c>
      <c r="E29" s="13" t="s">
        <v>1894</v>
      </c>
      <c r="F29" s="13" t="s">
        <v>1895</v>
      </c>
      <c r="G29" s="13" t="s">
        <v>144</v>
      </c>
      <c r="H29" s="13" t="s">
        <v>95</v>
      </c>
      <c r="I29" s="13" t="s">
        <v>1647</v>
      </c>
      <c r="J29" s="13" t="s">
        <v>1896</v>
      </c>
      <c r="K29" s="13" t="s">
        <v>1897</v>
      </c>
      <c r="L29" s="14" t="s">
        <v>1898</v>
      </c>
      <c r="M29" s="14" t="s">
        <v>43</v>
      </c>
      <c r="N29" s="14" t="s">
        <v>1899</v>
      </c>
      <c r="O29" s="14" t="s">
        <v>1900</v>
      </c>
      <c r="P29" s="14" t="s">
        <v>41</v>
      </c>
      <c r="Q29" s="14"/>
      <c r="R29" s="14" t="s">
        <v>1728</v>
      </c>
    </row>
    <row r="30" customFormat="false" ht="35.05" hidden="false" customHeight="false" outlineLevel="0" collapsed="false">
      <c r="A30" s="12" t="s">
        <v>1901</v>
      </c>
      <c r="B30" s="12" t="s">
        <v>47</v>
      </c>
      <c r="C30" s="12" t="s">
        <v>142</v>
      </c>
      <c r="D30" s="13" t="s">
        <v>1902</v>
      </c>
      <c r="E30" s="13" t="s">
        <v>1903</v>
      </c>
      <c r="F30" s="13" t="s">
        <v>1904</v>
      </c>
      <c r="G30" s="13" t="s">
        <v>144</v>
      </c>
      <c r="H30" s="13" t="s">
        <v>95</v>
      </c>
      <c r="I30" s="13" t="s">
        <v>1647</v>
      </c>
      <c r="J30" s="13" t="s">
        <v>1714</v>
      </c>
      <c r="K30" s="13" t="s">
        <v>1905</v>
      </c>
      <c r="L30" s="14" t="s">
        <v>1906</v>
      </c>
      <c r="M30" s="14" t="s">
        <v>41</v>
      </c>
      <c r="N30" s="14"/>
      <c r="O30" s="14" t="s">
        <v>1906</v>
      </c>
      <c r="P30" s="14" t="s">
        <v>41</v>
      </c>
      <c r="Q30" s="14"/>
      <c r="R30" s="14" t="s">
        <v>1728</v>
      </c>
    </row>
    <row r="31" customFormat="false" ht="23.85" hidden="false" customHeight="false" outlineLevel="0" collapsed="false">
      <c r="A31" s="12" t="s">
        <v>1907</v>
      </c>
      <c r="B31" s="12" t="s">
        <v>47</v>
      </c>
      <c r="C31" s="12" t="s">
        <v>142</v>
      </c>
      <c r="D31" s="13" t="s">
        <v>1908</v>
      </c>
      <c r="E31" s="13" t="s">
        <v>1909</v>
      </c>
      <c r="F31" s="13" t="s">
        <v>1910</v>
      </c>
      <c r="G31" s="13" t="s">
        <v>178</v>
      </c>
      <c r="H31" s="13" t="s">
        <v>591</v>
      </c>
      <c r="I31" s="13" t="s">
        <v>1460</v>
      </c>
      <c r="J31" s="13"/>
      <c r="K31" s="13" t="s">
        <v>1911</v>
      </c>
      <c r="L31" s="14" t="s">
        <v>1768</v>
      </c>
      <c r="M31" s="14" t="s">
        <v>41</v>
      </c>
      <c r="N31" s="14"/>
      <c r="O31" s="14" t="s">
        <v>1768</v>
      </c>
      <c r="P31" s="14" t="s">
        <v>41</v>
      </c>
      <c r="Q31" s="14"/>
      <c r="R31" s="14" t="s">
        <v>1728</v>
      </c>
    </row>
    <row r="32" customFormat="false" ht="15" hidden="false" customHeight="false" outlineLevel="0" collapsed="false">
      <c r="A32" s="12" t="s">
        <v>1912</v>
      </c>
      <c r="B32" s="12" t="s">
        <v>47</v>
      </c>
      <c r="C32" s="12" t="s">
        <v>142</v>
      </c>
      <c r="D32" s="13" t="s">
        <v>1913</v>
      </c>
      <c r="E32" s="13" t="s">
        <v>1914</v>
      </c>
      <c r="F32" s="13" t="s">
        <v>1915</v>
      </c>
      <c r="G32" s="13" t="s">
        <v>178</v>
      </c>
      <c r="H32" s="13" t="s">
        <v>591</v>
      </c>
      <c r="I32" s="13" t="s">
        <v>1460</v>
      </c>
      <c r="J32" s="13"/>
      <c r="K32" s="13" t="s">
        <v>1461</v>
      </c>
      <c r="L32" s="14" t="s">
        <v>1463</v>
      </c>
      <c r="M32" s="14" t="s">
        <v>41</v>
      </c>
      <c r="N32" s="14"/>
      <c r="O32" s="14" t="s">
        <v>1463</v>
      </c>
      <c r="P32" s="14" t="s">
        <v>41</v>
      </c>
      <c r="Q32" s="14"/>
      <c r="R32" s="14" t="s">
        <v>1728</v>
      </c>
    </row>
    <row r="33" customFormat="false" ht="23.85" hidden="false" customHeight="false" outlineLevel="0" collapsed="false">
      <c r="A33" s="12" t="s">
        <v>1916</v>
      </c>
      <c r="B33" s="12" t="s">
        <v>47</v>
      </c>
      <c r="C33" s="12" t="s">
        <v>142</v>
      </c>
      <c r="D33" s="13" t="s">
        <v>1917</v>
      </c>
      <c r="E33" s="13" t="s">
        <v>1918</v>
      </c>
      <c r="F33" s="13" t="s">
        <v>1919</v>
      </c>
      <c r="G33" s="13" t="s">
        <v>144</v>
      </c>
      <c r="H33" s="13" t="s">
        <v>95</v>
      </c>
      <c r="I33" s="13" t="s">
        <v>1605</v>
      </c>
      <c r="J33" s="13" t="s">
        <v>1920</v>
      </c>
      <c r="K33" s="13" t="s">
        <v>1921</v>
      </c>
      <c r="L33" s="14" t="s">
        <v>1922</v>
      </c>
      <c r="M33" s="14" t="s">
        <v>41</v>
      </c>
      <c r="N33" s="14"/>
      <c r="O33" s="14" t="s">
        <v>1922</v>
      </c>
      <c r="P33" s="14" t="s">
        <v>41</v>
      </c>
      <c r="Q33" s="14"/>
      <c r="R33" s="14" t="s">
        <v>1728</v>
      </c>
    </row>
    <row r="34" customFormat="false" ht="35.05" hidden="false" customHeight="false" outlineLevel="0" collapsed="false">
      <c r="A34" s="12" t="s">
        <v>1923</v>
      </c>
      <c r="B34" s="12" t="s">
        <v>47</v>
      </c>
      <c r="C34" s="12" t="s">
        <v>142</v>
      </c>
      <c r="D34" s="13" t="s">
        <v>1924</v>
      </c>
      <c r="E34" s="13" t="s">
        <v>1925</v>
      </c>
      <c r="F34" s="13" t="s">
        <v>1926</v>
      </c>
      <c r="G34" s="13" t="s">
        <v>144</v>
      </c>
      <c r="H34" s="13" t="s">
        <v>95</v>
      </c>
      <c r="I34" s="13" t="s">
        <v>1647</v>
      </c>
      <c r="J34" s="13" t="s">
        <v>1725</v>
      </c>
      <c r="K34" s="13" t="s">
        <v>1927</v>
      </c>
      <c r="L34" s="14" t="s">
        <v>1727</v>
      </c>
      <c r="M34" s="14" t="s">
        <v>41</v>
      </c>
      <c r="N34" s="14"/>
      <c r="O34" s="14" t="s">
        <v>1727</v>
      </c>
      <c r="P34" s="14" t="s">
        <v>41</v>
      </c>
      <c r="Q34" s="14"/>
      <c r="R34" s="14" t="s">
        <v>1728</v>
      </c>
    </row>
    <row r="35" customFormat="false" ht="35.05" hidden="false" customHeight="false" outlineLevel="0" collapsed="false">
      <c r="A35" s="12" t="s">
        <v>1923</v>
      </c>
      <c r="B35" s="12" t="s">
        <v>47</v>
      </c>
      <c r="C35" s="12" t="s">
        <v>164</v>
      </c>
      <c r="D35" s="13" t="s">
        <v>1924</v>
      </c>
      <c r="E35" s="13" t="s">
        <v>1925</v>
      </c>
      <c r="F35" s="13" t="s">
        <v>1926</v>
      </c>
      <c r="G35" s="13" t="s">
        <v>144</v>
      </c>
      <c r="H35" s="13" t="s">
        <v>95</v>
      </c>
      <c r="I35" s="13" t="s">
        <v>1605</v>
      </c>
      <c r="J35" s="13" t="s">
        <v>1662</v>
      </c>
      <c r="K35" s="13" t="s">
        <v>1927</v>
      </c>
      <c r="L35" s="14" t="s">
        <v>1663</v>
      </c>
      <c r="M35" s="14" t="s">
        <v>41</v>
      </c>
      <c r="N35" s="14"/>
      <c r="O35" s="14" t="s">
        <v>1663</v>
      </c>
      <c r="P35" s="14" t="s">
        <v>41</v>
      </c>
      <c r="Q35" s="14"/>
      <c r="R35" s="14" t="s">
        <v>1728</v>
      </c>
    </row>
    <row r="36" customFormat="false" ht="35.05" hidden="false" customHeight="false" outlineLevel="0" collapsed="false">
      <c r="A36" s="12" t="s">
        <v>1928</v>
      </c>
      <c r="B36" s="12" t="s">
        <v>47</v>
      </c>
      <c r="C36" s="12" t="s">
        <v>142</v>
      </c>
      <c r="D36" s="13" t="s">
        <v>1929</v>
      </c>
      <c r="E36" s="13" t="s">
        <v>1930</v>
      </c>
      <c r="F36" s="13" t="s">
        <v>1931</v>
      </c>
      <c r="G36" s="13" t="s">
        <v>144</v>
      </c>
      <c r="H36" s="13" t="s">
        <v>95</v>
      </c>
      <c r="I36" s="13" t="s">
        <v>1932</v>
      </c>
      <c r="J36" s="13" t="s">
        <v>1933</v>
      </c>
      <c r="K36" s="13" t="s">
        <v>1934</v>
      </c>
      <c r="L36" s="14" t="s">
        <v>1935</v>
      </c>
      <c r="M36" s="14" t="s">
        <v>41</v>
      </c>
      <c r="N36" s="14"/>
      <c r="O36" s="14" t="s">
        <v>1936</v>
      </c>
      <c r="P36" s="14" t="s">
        <v>41</v>
      </c>
      <c r="Q36" s="14"/>
      <c r="R36" s="14" t="s">
        <v>1728</v>
      </c>
    </row>
    <row r="37" customFormat="false" ht="35.05" hidden="false" customHeight="false" outlineLevel="0" collapsed="false">
      <c r="A37" s="12" t="s">
        <v>1937</v>
      </c>
      <c r="B37" s="12" t="s">
        <v>47</v>
      </c>
      <c r="C37" s="12" t="s">
        <v>142</v>
      </c>
      <c r="D37" s="13" t="s">
        <v>1938</v>
      </c>
      <c r="E37" s="13" t="s">
        <v>1939</v>
      </c>
      <c r="F37" s="13" t="s">
        <v>1940</v>
      </c>
      <c r="G37" s="13" t="s">
        <v>144</v>
      </c>
      <c r="H37" s="13" t="s">
        <v>95</v>
      </c>
      <c r="I37" s="13" t="s">
        <v>1647</v>
      </c>
      <c r="J37" s="13" t="s">
        <v>1941</v>
      </c>
      <c r="K37" s="13" t="s">
        <v>1942</v>
      </c>
      <c r="L37" s="14" t="s">
        <v>1943</v>
      </c>
      <c r="M37" s="14" t="s">
        <v>44</v>
      </c>
      <c r="N37" s="14" t="s">
        <v>1801</v>
      </c>
      <c r="O37" s="14" t="s">
        <v>1944</v>
      </c>
      <c r="P37" s="14" t="s">
        <v>41</v>
      </c>
      <c r="Q37" s="14"/>
      <c r="R37" s="14" t="s">
        <v>1728</v>
      </c>
    </row>
    <row r="38" customFormat="false" ht="35.05" hidden="false" customHeight="false" outlineLevel="0" collapsed="false">
      <c r="A38" s="12" t="s">
        <v>1945</v>
      </c>
      <c r="B38" s="12" t="s">
        <v>48</v>
      </c>
      <c r="C38" s="12" t="s">
        <v>142</v>
      </c>
      <c r="D38" s="13" t="s">
        <v>1946</v>
      </c>
      <c r="E38" s="13" t="s">
        <v>1947</v>
      </c>
      <c r="F38" s="13" t="s">
        <v>1948</v>
      </c>
      <c r="G38" s="13" t="s">
        <v>144</v>
      </c>
      <c r="H38" s="13" t="s">
        <v>95</v>
      </c>
      <c r="I38" s="13" t="s">
        <v>1647</v>
      </c>
      <c r="J38" s="13" t="s">
        <v>1949</v>
      </c>
      <c r="K38" s="13" t="s">
        <v>1950</v>
      </c>
      <c r="L38" s="14" t="s">
        <v>1951</v>
      </c>
      <c r="M38" s="14" t="s">
        <v>44</v>
      </c>
      <c r="N38" s="14" t="s">
        <v>1801</v>
      </c>
      <c r="O38" s="14" t="s">
        <v>1952</v>
      </c>
      <c r="P38" s="14" t="s">
        <v>41</v>
      </c>
      <c r="Q38" s="14"/>
      <c r="R38" s="14" t="s">
        <v>1728</v>
      </c>
    </row>
    <row r="39" customFormat="false" ht="35.05" hidden="false" customHeight="false" outlineLevel="0" collapsed="false">
      <c r="A39" s="12" t="s">
        <v>1953</v>
      </c>
      <c r="B39" s="12" t="s">
        <v>48</v>
      </c>
      <c r="C39" s="12" t="s">
        <v>142</v>
      </c>
      <c r="D39" s="13" t="s">
        <v>1954</v>
      </c>
      <c r="E39" s="13" t="s">
        <v>1955</v>
      </c>
      <c r="F39" s="13" t="s">
        <v>1956</v>
      </c>
      <c r="G39" s="13" t="s">
        <v>144</v>
      </c>
      <c r="H39" s="13" t="s">
        <v>95</v>
      </c>
      <c r="I39" s="13" t="s">
        <v>1647</v>
      </c>
      <c r="J39" s="13" t="s">
        <v>1957</v>
      </c>
      <c r="K39" s="13" t="s">
        <v>1958</v>
      </c>
      <c r="L39" s="14" t="s">
        <v>1959</v>
      </c>
      <c r="M39" s="14" t="s">
        <v>44</v>
      </c>
      <c r="N39" s="14" t="s">
        <v>1801</v>
      </c>
      <c r="O39" s="14" t="s">
        <v>1960</v>
      </c>
      <c r="P39" s="14" t="s">
        <v>41</v>
      </c>
      <c r="Q39" s="14"/>
      <c r="R39" s="14" t="s">
        <v>1728</v>
      </c>
    </row>
    <row r="40" customFormat="false" ht="35.05" hidden="false" customHeight="false" outlineLevel="0" collapsed="false">
      <c r="A40" s="12" t="s">
        <v>1953</v>
      </c>
      <c r="B40" s="12" t="s">
        <v>48</v>
      </c>
      <c r="C40" s="12" t="s">
        <v>164</v>
      </c>
      <c r="D40" s="13" t="s">
        <v>1954</v>
      </c>
      <c r="E40" s="13" t="s">
        <v>1955</v>
      </c>
      <c r="F40" s="13" t="s">
        <v>1956</v>
      </c>
      <c r="G40" s="13" t="s">
        <v>144</v>
      </c>
      <c r="H40" s="13" t="s">
        <v>95</v>
      </c>
      <c r="I40" s="13" t="s">
        <v>1605</v>
      </c>
      <c r="J40" s="13" t="s">
        <v>1961</v>
      </c>
      <c r="K40" s="13" t="s">
        <v>1958</v>
      </c>
      <c r="L40" s="14" t="s">
        <v>1959</v>
      </c>
      <c r="M40" s="14" t="s">
        <v>44</v>
      </c>
      <c r="N40" s="14" t="s">
        <v>1962</v>
      </c>
      <c r="O40" s="14" t="s">
        <v>1963</v>
      </c>
      <c r="P40" s="14" t="s">
        <v>41</v>
      </c>
      <c r="Q40" s="14"/>
      <c r="R40" s="14" t="s">
        <v>1728</v>
      </c>
    </row>
    <row r="41" customFormat="false" ht="46.25" hidden="false" customHeight="false" outlineLevel="0" collapsed="false">
      <c r="A41" s="12" t="s">
        <v>1964</v>
      </c>
      <c r="B41" s="12" t="s">
        <v>48</v>
      </c>
      <c r="C41" s="12" t="s">
        <v>142</v>
      </c>
      <c r="D41" s="13" t="s">
        <v>1965</v>
      </c>
      <c r="E41" s="13" t="s">
        <v>1966</v>
      </c>
      <c r="F41" s="13" t="s">
        <v>1967</v>
      </c>
      <c r="G41" s="13" t="s">
        <v>144</v>
      </c>
      <c r="H41" s="13" t="s">
        <v>95</v>
      </c>
      <c r="I41" s="13" t="s">
        <v>1647</v>
      </c>
      <c r="J41" s="13" t="s">
        <v>1968</v>
      </c>
      <c r="K41" s="13" t="s">
        <v>1969</v>
      </c>
      <c r="L41" s="14" t="s">
        <v>1970</v>
      </c>
      <c r="M41" s="14" t="s">
        <v>44</v>
      </c>
      <c r="N41" s="14" t="s">
        <v>1801</v>
      </c>
      <c r="O41" s="14" t="s">
        <v>1971</v>
      </c>
      <c r="P41" s="14" t="s">
        <v>41</v>
      </c>
      <c r="Q41" s="14"/>
      <c r="R41" s="14" t="s">
        <v>1728</v>
      </c>
    </row>
    <row r="42" customFormat="false" ht="35.05" hidden="false" customHeight="false" outlineLevel="0" collapsed="false">
      <c r="A42" s="12" t="s">
        <v>1972</v>
      </c>
      <c r="B42" s="12" t="s">
        <v>48</v>
      </c>
      <c r="C42" s="12" t="s">
        <v>142</v>
      </c>
      <c r="D42" s="13" t="s">
        <v>1973</v>
      </c>
      <c r="E42" s="13" t="s">
        <v>1974</v>
      </c>
      <c r="F42" s="13" t="s">
        <v>1975</v>
      </c>
      <c r="G42" s="13" t="s">
        <v>144</v>
      </c>
      <c r="H42" s="13" t="s">
        <v>95</v>
      </c>
      <c r="I42" s="13" t="s">
        <v>1647</v>
      </c>
      <c r="J42" s="13" t="s">
        <v>1976</v>
      </c>
      <c r="K42" s="13" t="s">
        <v>1977</v>
      </c>
      <c r="L42" s="14" t="s">
        <v>1978</v>
      </c>
      <c r="M42" s="14" t="s">
        <v>44</v>
      </c>
      <c r="N42" s="14" t="s">
        <v>1801</v>
      </c>
      <c r="O42" s="14" t="s">
        <v>1979</v>
      </c>
      <c r="P42" s="14" t="s">
        <v>41</v>
      </c>
      <c r="Q42" s="14"/>
      <c r="R42" s="14" t="s">
        <v>1728</v>
      </c>
    </row>
    <row r="43" customFormat="false" ht="35.05" hidden="false" customHeight="false" outlineLevel="0" collapsed="false">
      <c r="A43" s="12" t="s">
        <v>1980</v>
      </c>
      <c r="B43" s="12" t="s">
        <v>48</v>
      </c>
      <c r="C43" s="12" t="s">
        <v>142</v>
      </c>
      <c r="D43" s="13" t="s">
        <v>1981</v>
      </c>
      <c r="E43" s="13" t="s">
        <v>1982</v>
      </c>
      <c r="F43" s="13" t="s">
        <v>1983</v>
      </c>
      <c r="G43" s="13" t="s">
        <v>144</v>
      </c>
      <c r="H43" s="13" t="s">
        <v>95</v>
      </c>
      <c r="I43" s="13" t="s">
        <v>1647</v>
      </c>
      <c r="J43" s="13" t="s">
        <v>1984</v>
      </c>
      <c r="K43" s="13" t="s">
        <v>1985</v>
      </c>
      <c r="L43" s="14" t="s">
        <v>1986</v>
      </c>
      <c r="M43" s="14" t="s">
        <v>44</v>
      </c>
      <c r="N43" s="14" t="s">
        <v>1801</v>
      </c>
      <c r="O43" s="14" t="s">
        <v>1987</v>
      </c>
      <c r="P43" s="14" t="s">
        <v>41</v>
      </c>
      <c r="Q43" s="14"/>
      <c r="R43" s="14" t="s">
        <v>1728</v>
      </c>
    </row>
    <row r="44" customFormat="false" ht="35.05" hidden="false" customHeight="false" outlineLevel="0" collapsed="false">
      <c r="A44" s="12" t="s">
        <v>1988</v>
      </c>
      <c r="B44" s="12" t="s">
        <v>48</v>
      </c>
      <c r="C44" s="12" t="s">
        <v>142</v>
      </c>
      <c r="D44" s="13" t="s">
        <v>1989</v>
      </c>
      <c r="E44" s="13" t="s">
        <v>1990</v>
      </c>
      <c r="F44" s="13" t="s">
        <v>1991</v>
      </c>
      <c r="G44" s="13" t="s">
        <v>144</v>
      </c>
      <c r="H44" s="13" t="s">
        <v>95</v>
      </c>
      <c r="I44" s="13" t="s">
        <v>1647</v>
      </c>
      <c r="J44" s="13" t="s">
        <v>1992</v>
      </c>
      <c r="K44" s="13" t="s">
        <v>1993</v>
      </c>
      <c r="L44" s="14" t="s">
        <v>1994</v>
      </c>
      <c r="M44" s="14" t="s">
        <v>41</v>
      </c>
      <c r="N44" s="14"/>
      <c r="O44" s="14" t="s">
        <v>1994</v>
      </c>
      <c r="P44" s="14" t="s">
        <v>41</v>
      </c>
      <c r="Q44" s="14"/>
      <c r="R44" s="14" t="s">
        <v>1728</v>
      </c>
    </row>
    <row r="45" customFormat="false" ht="23.85" hidden="false" customHeight="false" outlineLevel="0" collapsed="false">
      <c r="A45" s="12" t="s">
        <v>1988</v>
      </c>
      <c r="B45" s="12" t="s">
        <v>48</v>
      </c>
      <c r="C45" s="12" t="s">
        <v>164</v>
      </c>
      <c r="D45" s="13" t="s">
        <v>1989</v>
      </c>
      <c r="E45" s="13" t="s">
        <v>1990</v>
      </c>
      <c r="F45" s="13" t="s">
        <v>1991</v>
      </c>
      <c r="G45" s="13" t="s">
        <v>144</v>
      </c>
      <c r="H45" s="13" t="s">
        <v>95</v>
      </c>
      <c r="I45" s="13" t="s">
        <v>1605</v>
      </c>
      <c r="J45" s="13" t="s">
        <v>1757</v>
      </c>
      <c r="K45" s="13" t="s">
        <v>1993</v>
      </c>
      <c r="L45" s="14" t="s">
        <v>1995</v>
      </c>
      <c r="M45" s="14" t="s">
        <v>41</v>
      </c>
      <c r="N45" s="14"/>
      <c r="O45" s="14" t="s">
        <v>1995</v>
      </c>
      <c r="P45" s="14" t="s">
        <v>41</v>
      </c>
      <c r="Q45" s="14"/>
      <c r="R45" s="14" t="s">
        <v>1728</v>
      </c>
    </row>
    <row r="46" customFormat="false" ht="35.05" hidden="false" customHeight="false" outlineLevel="0" collapsed="false">
      <c r="A46" s="12" t="s">
        <v>1996</v>
      </c>
      <c r="B46" s="12" t="s">
        <v>48</v>
      </c>
      <c r="C46" s="12" t="s">
        <v>142</v>
      </c>
      <c r="D46" s="13" t="s">
        <v>1997</v>
      </c>
      <c r="E46" s="13" t="s">
        <v>1998</v>
      </c>
      <c r="F46" s="13" t="s">
        <v>1999</v>
      </c>
      <c r="G46" s="13" t="s">
        <v>144</v>
      </c>
      <c r="H46" s="13" t="s">
        <v>95</v>
      </c>
      <c r="I46" s="13" t="s">
        <v>1647</v>
      </c>
      <c r="J46" s="13" t="s">
        <v>2000</v>
      </c>
      <c r="K46" s="13" t="s">
        <v>2001</v>
      </c>
      <c r="L46" s="14"/>
      <c r="M46" s="14" t="s">
        <v>44</v>
      </c>
      <c r="N46" s="14" t="s">
        <v>242</v>
      </c>
      <c r="O46" s="14" t="s">
        <v>2002</v>
      </c>
      <c r="P46" s="14" t="s">
        <v>41</v>
      </c>
      <c r="Q46" s="14"/>
      <c r="R46" s="14" t="s">
        <v>1728</v>
      </c>
    </row>
    <row r="47" customFormat="false" ht="35.05" hidden="false" customHeight="false" outlineLevel="0" collapsed="false">
      <c r="A47" s="12" t="s">
        <v>1996</v>
      </c>
      <c r="B47" s="12" t="s">
        <v>48</v>
      </c>
      <c r="C47" s="12" t="s">
        <v>164</v>
      </c>
      <c r="D47" s="13" t="s">
        <v>1997</v>
      </c>
      <c r="E47" s="13" t="s">
        <v>1998</v>
      </c>
      <c r="F47" s="13" t="s">
        <v>1999</v>
      </c>
      <c r="G47" s="13" t="s">
        <v>144</v>
      </c>
      <c r="H47" s="13" t="s">
        <v>95</v>
      </c>
      <c r="I47" s="13" t="s">
        <v>1605</v>
      </c>
      <c r="J47" s="13" t="s">
        <v>2000</v>
      </c>
      <c r="K47" s="13" t="s">
        <v>2001</v>
      </c>
      <c r="L47" s="14" t="s">
        <v>2003</v>
      </c>
      <c r="M47" s="14" t="s">
        <v>41</v>
      </c>
      <c r="N47" s="14"/>
      <c r="O47" s="14" t="s">
        <v>2004</v>
      </c>
      <c r="P47" s="14" t="s">
        <v>41</v>
      </c>
      <c r="Q47" s="14"/>
      <c r="R47" s="14" t="s">
        <v>1728</v>
      </c>
    </row>
    <row r="48" customFormat="false" ht="46.25" hidden="false" customHeight="false" outlineLevel="0" collapsed="false">
      <c r="A48" s="12" t="s">
        <v>2005</v>
      </c>
      <c r="B48" s="12" t="s">
        <v>48</v>
      </c>
      <c r="C48" s="12" t="s">
        <v>142</v>
      </c>
      <c r="D48" s="13" t="s">
        <v>2006</v>
      </c>
      <c r="E48" s="13" t="s">
        <v>2007</v>
      </c>
      <c r="F48" s="13" t="s">
        <v>2008</v>
      </c>
      <c r="G48" s="13" t="s">
        <v>144</v>
      </c>
      <c r="H48" s="13" t="s">
        <v>95</v>
      </c>
      <c r="I48" s="13" t="s">
        <v>1647</v>
      </c>
      <c r="J48" s="13" t="s">
        <v>2009</v>
      </c>
      <c r="K48" s="13" t="s">
        <v>2010</v>
      </c>
      <c r="L48" s="14" t="s">
        <v>2011</v>
      </c>
      <c r="M48" s="14" t="s">
        <v>44</v>
      </c>
      <c r="N48" s="14" t="s">
        <v>1801</v>
      </c>
      <c r="O48" s="14" t="s">
        <v>2012</v>
      </c>
      <c r="P48" s="14" t="s">
        <v>41</v>
      </c>
      <c r="Q48" s="14"/>
      <c r="R48" s="14" t="s">
        <v>1728</v>
      </c>
    </row>
    <row r="49" customFormat="false" ht="35.05" hidden="false" customHeight="false" outlineLevel="0" collapsed="false">
      <c r="A49" s="12" t="s">
        <v>2013</v>
      </c>
      <c r="B49" s="12" t="s">
        <v>48</v>
      </c>
      <c r="C49" s="12" t="s">
        <v>142</v>
      </c>
      <c r="D49" s="13" t="s">
        <v>2014</v>
      </c>
      <c r="E49" s="13" t="s">
        <v>2015</v>
      </c>
      <c r="F49" s="13" t="s">
        <v>2016</v>
      </c>
      <c r="G49" s="13" t="s">
        <v>144</v>
      </c>
      <c r="H49" s="13" t="s">
        <v>95</v>
      </c>
      <c r="I49" s="13" t="s">
        <v>1647</v>
      </c>
      <c r="J49" s="13" t="s">
        <v>2017</v>
      </c>
      <c r="K49" s="13" t="s">
        <v>2018</v>
      </c>
      <c r="L49" s="14"/>
      <c r="M49" s="14" t="s">
        <v>44</v>
      </c>
      <c r="N49" s="14" t="s">
        <v>242</v>
      </c>
      <c r="O49" s="14" t="s">
        <v>2019</v>
      </c>
      <c r="P49" s="14" t="s">
        <v>41</v>
      </c>
      <c r="Q49" s="14"/>
      <c r="R49" s="14" t="s">
        <v>1728</v>
      </c>
    </row>
    <row r="50" customFormat="false" ht="23.85" hidden="false" customHeight="false" outlineLevel="0" collapsed="false">
      <c r="A50" s="12" t="s">
        <v>2013</v>
      </c>
      <c r="B50" s="12" t="s">
        <v>48</v>
      </c>
      <c r="C50" s="12" t="s">
        <v>1396</v>
      </c>
      <c r="D50" s="13" t="s">
        <v>2014</v>
      </c>
      <c r="E50" s="13" t="s">
        <v>2015</v>
      </c>
      <c r="F50" s="13" t="s">
        <v>2016</v>
      </c>
      <c r="G50" s="13" t="s">
        <v>144</v>
      </c>
      <c r="H50" s="13"/>
      <c r="I50" s="13" t="s">
        <v>387</v>
      </c>
      <c r="J50" s="13"/>
      <c r="K50" s="13" t="s">
        <v>2018</v>
      </c>
      <c r="L50" s="14"/>
      <c r="M50" s="14" t="s">
        <v>43</v>
      </c>
      <c r="N50" s="14" t="s">
        <v>2020</v>
      </c>
      <c r="O50" s="14"/>
      <c r="P50" s="14"/>
      <c r="Q50" s="14"/>
      <c r="R50" s="14"/>
    </row>
    <row r="51" customFormat="false" ht="35.05" hidden="false" customHeight="false" outlineLevel="0" collapsed="false">
      <c r="A51" s="12" t="s">
        <v>2021</v>
      </c>
      <c r="B51" s="12" t="s">
        <v>48</v>
      </c>
      <c r="C51" s="12" t="s">
        <v>142</v>
      </c>
      <c r="D51" s="13" t="s">
        <v>2022</v>
      </c>
      <c r="E51" s="13" t="s">
        <v>2023</v>
      </c>
      <c r="F51" s="13" t="s">
        <v>2024</v>
      </c>
      <c r="G51" s="13" t="s">
        <v>144</v>
      </c>
      <c r="H51" s="13" t="s">
        <v>95</v>
      </c>
      <c r="I51" s="13" t="s">
        <v>1647</v>
      </c>
      <c r="J51" s="13" t="s">
        <v>2025</v>
      </c>
      <c r="K51" s="13" t="s">
        <v>2026</v>
      </c>
      <c r="L51" s="14" t="s">
        <v>2027</v>
      </c>
      <c r="M51" s="14" t="s">
        <v>41</v>
      </c>
      <c r="N51" s="14"/>
      <c r="O51" s="14" t="s">
        <v>2027</v>
      </c>
      <c r="P51" s="14" t="s">
        <v>41</v>
      </c>
      <c r="Q51" s="14"/>
      <c r="R51" s="14" t="s">
        <v>1728</v>
      </c>
    </row>
    <row r="52" customFormat="false" ht="35.05" hidden="false" customHeight="false" outlineLevel="0" collapsed="false">
      <c r="A52" s="12" t="s">
        <v>2021</v>
      </c>
      <c r="B52" s="12" t="s">
        <v>48</v>
      </c>
      <c r="C52" s="12" t="s">
        <v>164</v>
      </c>
      <c r="D52" s="13" t="s">
        <v>2022</v>
      </c>
      <c r="E52" s="13" t="s">
        <v>2023</v>
      </c>
      <c r="F52" s="13" t="s">
        <v>2024</v>
      </c>
      <c r="G52" s="13" t="s">
        <v>144</v>
      </c>
      <c r="H52" s="13" t="s">
        <v>95</v>
      </c>
      <c r="I52" s="13" t="s">
        <v>1605</v>
      </c>
      <c r="J52" s="13" t="s">
        <v>2028</v>
      </c>
      <c r="K52" s="13" t="s">
        <v>2026</v>
      </c>
      <c r="L52" s="14"/>
      <c r="M52" s="14" t="s">
        <v>44</v>
      </c>
      <c r="N52" s="14"/>
      <c r="O52" s="14" t="s">
        <v>2029</v>
      </c>
      <c r="P52" s="14" t="s">
        <v>41</v>
      </c>
      <c r="Q52" s="14"/>
      <c r="R52" s="14" t="s">
        <v>1728</v>
      </c>
    </row>
    <row r="53" customFormat="false" ht="46.25" hidden="false" customHeight="false" outlineLevel="0" collapsed="false">
      <c r="A53" s="12" t="s">
        <v>2030</v>
      </c>
      <c r="B53" s="12" t="s">
        <v>49</v>
      </c>
      <c r="C53" s="12" t="s">
        <v>142</v>
      </c>
      <c r="D53" s="13" t="s">
        <v>2031</v>
      </c>
      <c r="E53" s="13" t="s">
        <v>2032</v>
      </c>
      <c r="F53" s="13" t="s">
        <v>2033</v>
      </c>
      <c r="G53" s="13" t="s">
        <v>144</v>
      </c>
      <c r="H53" s="13" t="s">
        <v>95</v>
      </c>
      <c r="I53" s="13" t="s">
        <v>1647</v>
      </c>
      <c r="J53" s="13" t="s">
        <v>2034</v>
      </c>
      <c r="K53" s="13" t="s">
        <v>2035</v>
      </c>
      <c r="L53" s="14" t="s">
        <v>2036</v>
      </c>
      <c r="M53" s="14" t="s">
        <v>43</v>
      </c>
      <c r="N53" s="14" t="s">
        <v>789</v>
      </c>
      <c r="O53" s="14" t="s">
        <v>2037</v>
      </c>
      <c r="P53" s="14" t="s">
        <v>43</v>
      </c>
      <c r="Q53" s="14" t="s">
        <v>789</v>
      </c>
      <c r="R53" s="14" t="s">
        <v>1728</v>
      </c>
    </row>
    <row r="54" customFormat="false" ht="23.85" hidden="false" customHeight="false" outlineLevel="0" collapsed="false">
      <c r="A54" s="12" t="s">
        <v>2030</v>
      </c>
      <c r="B54" s="12" t="s">
        <v>49</v>
      </c>
      <c r="C54" s="12" t="s">
        <v>1396</v>
      </c>
      <c r="D54" s="13" t="s">
        <v>2031</v>
      </c>
      <c r="E54" s="13" t="s">
        <v>2032</v>
      </c>
      <c r="F54" s="13" t="s">
        <v>2033</v>
      </c>
      <c r="G54" s="13" t="s">
        <v>144</v>
      </c>
      <c r="H54" s="13"/>
      <c r="I54" s="13" t="s">
        <v>387</v>
      </c>
      <c r="J54" s="13"/>
      <c r="K54" s="13" t="s">
        <v>2035</v>
      </c>
      <c r="L54" s="14" t="s">
        <v>1768</v>
      </c>
      <c r="M54" s="14" t="s">
        <v>43</v>
      </c>
      <c r="N54" s="14" t="s">
        <v>2038</v>
      </c>
      <c r="O54" s="14"/>
      <c r="P54" s="14"/>
      <c r="Q54" s="14"/>
      <c r="R54" s="14"/>
    </row>
    <row r="55" customFormat="false" ht="23.85" hidden="false" customHeight="false" outlineLevel="0" collapsed="false">
      <c r="A55" s="12" t="s">
        <v>2039</v>
      </c>
      <c r="B55" s="12" t="s">
        <v>49</v>
      </c>
      <c r="C55" s="12" t="s">
        <v>142</v>
      </c>
      <c r="D55" s="13" t="s">
        <v>2040</v>
      </c>
      <c r="E55" s="13" t="s">
        <v>2041</v>
      </c>
      <c r="F55" s="13" t="s">
        <v>2042</v>
      </c>
      <c r="G55" s="13" t="s">
        <v>144</v>
      </c>
      <c r="H55" s="13" t="s">
        <v>95</v>
      </c>
      <c r="I55" s="13" t="s">
        <v>1605</v>
      </c>
      <c r="J55" s="13" t="s">
        <v>2043</v>
      </c>
      <c r="K55" s="13" t="s">
        <v>2044</v>
      </c>
      <c r="L55" s="14" t="s">
        <v>2045</v>
      </c>
      <c r="M55" s="14" t="s">
        <v>41</v>
      </c>
      <c r="N55" s="14"/>
      <c r="O55" s="14" t="s">
        <v>2045</v>
      </c>
      <c r="P55" s="14" t="s">
        <v>41</v>
      </c>
      <c r="Q55" s="14"/>
      <c r="R55" s="14" t="s">
        <v>1728</v>
      </c>
    </row>
    <row r="56" customFormat="false" ht="35.05" hidden="false" customHeight="false" outlineLevel="0" collapsed="false">
      <c r="A56" s="12" t="s">
        <v>2039</v>
      </c>
      <c r="B56" s="12" t="s">
        <v>49</v>
      </c>
      <c r="C56" s="12" t="s">
        <v>164</v>
      </c>
      <c r="D56" s="13" t="s">
        <v>2040</v>
      </c>
      <c r="E56" s="13" t="s">
        <v>2041</v>
      </c>
      <c r="F56" s="13" t="s">
        <v>2042</v>
      </c>
      <c r="G56" s="13" t="s">
        <v>144</v>
      </c>
      <c r="H56" s="13" t="s">
        <v>93</v>
      </c>
      <c r="I56" s="13" t="s">
        <v>1264</v>
      </c>
      <c r="J56" s="13" t="s">
        <v>2046</v>
      </c>
      <c r="K56" s="13" t="s">
        <v>2044</v>
      </c>
      <c r="L56" s="14" t="s">
        <v>2047</v>
      </c>
      <c r="M56" s="14" t="s">
        <v>41</v>
      </c>
      <c r="N56" s="14"/>
      <c r="O56" s="14" t="s">
        <v>2047</v>
      </c>
      <c r="P56" s="14" t="s">
        <v>41</v>
      </c>
      <c r="Q56" s="14"/>
      <c r="R56" s="14" t="s">
        <v>1728</v>
      </c>
    </row>
    <row r="57" customFormat="false" ht="35.05" hidden="false" customHeight="false" outlineLevel="0" collapsed="false">
      <c r="A57" s="12" t="s">
        <v>2048</v>
      </c>
      <c r="B57" s="12" t="s">
        <v>49</v>
      </c>
      <c r="C57" s="12" t="s">
        <v>142</v>
      </c>
      <c r="D57" s="13" t="s">
        <v>2049</v>
      </c>
      <c r="E57" s="13" t="s">
        <v>2050</v>
      </c>
      <c r="F57" s="13" t="s">
        <v>2051</v>
      </c>
      <c r="G57" s="13" t="s">
        <v>144</v>
      </c>
      <c r="H57" s="13" t="s">
        <v>97</v>
      </c>
      <c r="I57" s="13" t="s">
        <v>1613</v>
      </c>
      <c r="J57" s="13" t="s">
        <v>2052</v>
      </c>
      <c r="K57" s="13" t="s">
        <v>2053</v>
      </c>
      <c r="L57" s="14" t="s">
        <v>2054</v>
      </c>
      <c r="M57" s="14" t="s">
        <v>44</v>
      </c>
      <c r="N57" s="14" t="s">
        <v>851</v>
      </c>
      <c r="O57" s="14" t="s">
        <v>2055</v>
      </c>
      <c r="P57" s="14" t="s">
        <v>42</v>
      </c>
      <c r="Q57" s="14" t="s">
        <v>2056</v>
      </c>
      <c r="R57" s="14" t="s">
        <v>1728</v>
      </c>
    </row>
    <row r="58" customFormat="false" ht="46.25" hidden="false" customHeight="false" outlineLevel="0" collapsed="false">
      <c r="A58" s="12" t="s">
        <v>2048</v>
      </c>
      <c r="B58" s="12" t="s">
        <v>49</v>
      </c>
      <c r="C58" s="12" t="s">
        <v>164</v>
      </c>
      <c r="D58" s="13" t="s">
        <v>2049</v>
      </c>
      <c r="E58" s="13" t="s">
        <v>2050</v>
      </c>
      <c r="F58" s="13" t="s">
        <v>2051</v>
      </c>
      <c r="G58" s="13" t="s">
        <v>144</v>
      </c>
      <c r="H58" s="13" t="s">
        <v>95</v>
      </c>
      <c r="I58" s="13" t="s">
        <v>1647</v>
      </c>
      <c r="J58" s="13" t="s">
        <v>2057</v>
      </c>
      <c r="K58" s="13" t="s">
        <v>2053</v>
      </c>
      <c r="L58" s="14" t="s">
        <v>2054</v>
      </c>
      <c r="M58" s="14" t="s">
        <v>44</v>
      </c>
      <c r="N58" s="14" t="s">
        <v>1801</v>
      </c>
      <c r="O58" s="14" t="s">
        <v>2055</v>
      </c>
      <c r="P58" s="14" t="s">
        <v>42</v>
      </c>
      <c r="Q58" s="14" t="s">
        <v>214</v>
      </c>
      <c r="R58" s="14" t="s">
        <v>1728</v>
      </c>
    </row>
    <row r="59" customFormat="false" ht="35.05" hidden="false" customHeight="false" outlineLevel="0" collapsed="false">
      <c r="A59" s="12" t="s">
        <v>2058</v>
      </c>
      <c r="B59" s="12" t="s">
        <v>49</v>
      </c>
      <c r="C59" s="12" t="s">
        <v>142</v>
      </c>
      <c r="D59" s="13" t="s">
        <v>2059</v>
      </c>
      <c r="E59" s="13" t="s">
        <v>2060</v>
      </c>
      <c r="F59" s="13" t="s">
        <v>2061</v>
      </c>
      <c r="G59" s="13" t="s">
        <v>144</v>
      </c>
      <c r="H59" s="13"/>
      <c r="I59" s="13" t="s">
        <v>1701</v>
      </c>
      <c r="J59" s="13" t="s">
        <v>2062</v>
      </c>
      <c r="K59" s="13" t="s">
        <v>2063</v>
      </c>
      <c r="L59" s="14" t="s">
        <v>2064</v>
      </c>
      <c r="M59" s="14" t="s">
        <v>44</v>
      </c>
      <c r="N59" s="14" t="s">
        <v>2065</v>
      </c>
      <c r="O59" s="14" t="s">
        <v>2066</v>
      </c>
      <c r="P59" s="14" t="s">
        <v>41</v>
      </c>
      <c r="Q59" s="14"/>
      <c r="R59" s="14" t="s">
        <v>1728</v>
      </c>
    </row>
    <row r="60" customFormat="false" ht="46.25" hidden="false" customHeight="false" outlineLevel="0" collapsed="false">
      <c r="A60" s="12" t="s">
        <v>2058</v>
      </c>
      <c r="B60" s="12" t="s">
        <v>49</v>
      </c>
      <c r="C60" s="12" t="s">
        <v>164</v>
      </c>
      <c r="D60" s="13" t="s">
        <v>2059</v>
      </c>
      <c r="E60" s="13" t="s">
        <v>2060</v>
      </c>
      <c r="F60" s="13" t="s">
        <v>2061</v>
      </c>
      <c r="G60" s="13" t="s">
        <v>144</v>
      </c>
      <c r="H60" s="13" t="s">
        <v>95</v>
      </c>
      <c r="I60" s="13" t="s">
        <v>1647</v>
      </c>
      <c r="J60" s="13" t="s">
        <v>2067</v>
      </c>
      <c r="K60" s="13" t="s">
        <v>2063</v>
      </c>
      <c r="L60" s="14" t="s">
        <v>2064</v>
      </c>
      <c r="M60" s="14" t="s">
        <v>44</v>
      </c>
      <c r="N60" s="14" t="s">
        <v>2068</v>
      </c>
      <c r="O60" s="14" t="s">
        <v>2069</v>
      </c>
      <c r="P60" s="14" t="s">
        <v>41</v>
      </c>
      <c r="Q60" s="14"/>
      <c r="R60" s="14" t="s">
        <v>1728</v>
      </c>
    </row>
    <row r="61" customFormat="false" ht="35.05" hidden="false" customHeight="false" outlineLevel="0" collapsed="false">
      <c r="A61" s="12" t="s">
        <v>2070</v>
      </c>
      <c r="B61" s="12" t="s">
        <v>49</v>
      </c>
      <c r="C61" s="12" t="s">
        <v>142</v>
      </c>
      <c r="D61" s="13" t="s">
        <v>2071</v>
      </c>
      <c r="E61" s="13" t="s">
        <v>2072</v>
      </c>
      <c r="F61" s="13" t="s">
        <v>2073</v>
      </c>
      <c r="G61" s="13" t="s">
        <v>144</v>
      </c>
      <c r="H61" s="13" t="s">
        <v>95</v>
      </c>
      <c r="I61" s="13" t="s">
        <v>1647</v>
      </c>
      <c r="J61" s="13" t="s">
        <v>2074</v>
      </c>
      <c r="K61" s="13" t="s">
        <v>2075</v>
      </c>
      <c r="L61" s="14" t="s">
        <v>2076</v>
      </c>
      <c r="M61" s="14" t="s">
        <v>41</v>
      </c>
      <c r="N61" s="14"/>
      <c r="O61" s="14" t="s">
        <v>2076</v>
      </c>
      <c r="P61" s="14" t="s">
        <v>41</v>
      </c>
      <c r="Q61" s="14"/>
      <c r="R61" s="14" t="s">
        <v>1728</v>
      </c>
    </row>
    <row r="62" customFormat="false" ht="23.85" hidden="false" customHeight="false" outlineLevel="0" collapsed="false">
      <c r="A62" s="12" t="s">
        <v>2070</v>
      </c>
      <c r="B62" s="12" t="s">
        <v>49</v>
      </c>
      <c r="C62" s="12" t="s">
        <v>164</v>
      </c>
      <c r="D62" s="13" t="s">
        <v>2071</v>
      </c>
      <c r="E62" s="13" t="s">
        <v>2072</v>
      </c>
      <c r="F62" s="13" t="s">
        <v>2073</v>
      </c>
      <c r="G62" s="13" t="s">
        <v>144</v>
      </c>
      <c r="H62" s="13"/>
      <c r="I62" s="13" t="s">
        <v>1636</v>
      </c>
      <c r="J62" s="13" t="s">
        <v>2077</v>
      </c>
      <c r="K62" s="13" t="s">
        <v>2075</v>
      </c>
      <c r="L62" s="14" t="s">
        <v>2078</v>
      </c>
      <c r="M62" s="14" t="s">
        <v>41</v>
      </c>
      <c r="N62" s="14"/>
      <c r="O62" s="14" t="s">
        <v>2078</v>
      </c>
      <c r="P62" s="14" t="s">
        <v>41</v>
      </c>
      <c r="Q62" s="14"/>
      <c r="R62" s="14" t="s">
        <v>1728</v>
      </c>
    </row>
    <row r="63" customFormat="false" ht="46.25" hidden="false" customHeight="false" outlineLevel="0" collapsed="false">
      <c r="A63" s="12" t="s">
        <v>2079</v>
      </c>
      <c r="B63" s="12" t="s">
        <v>49</v>
      </c>
      <c r="C63" s="12" t="s">
        <v>142</v>
      </c>
      <c r="D63" s="13" t="s">
        <v>2080</v>
      </c>
      <c r="E63" s="13" t="s">
        <v>2081</v>
      </c>
      <c r="F63" s="13" t="s">
        <v>2082</v>
      </c>
      <c r="G63" s="13" t="s">
        <v>144</v>
      </c>
      <c r="H63" s="13" t="s">
        <v>95</v>
      </c>
      <c r="I63" s="13" t="s">
        <v>1647</v>
      </c>
      <c r="J63" s="13" t="s">
        <v>1812</v>
      </c>
      <c r="K63" s="13" t="s">
        <v>2083</v>
      </c>
      <c r="L63" s="14" t="s">
        <v>2084</v>
      </c>
      <c r="M63" s="14" t="s">
        <v>41</v>
      </c>
      <c r="N63" s="14"/>
      <c r="O63" s="14" t="s">
        <v>1815</v>
      </c>
      <c r="P63" s="14" t="s">
        <v>41</v>
      </c>
      <c r="Q63" s="14"/>
      <c r="R63" s="14" t="s">
        <v>1728</v>
      </c>
    </row>
    <row r="64" customFormat="false" ht="57.45" hidden="false" customHeight="false" outlineLevel="0" collapsed="false">
      <c r="A64" s="12" t="s">
        <v>2079</v>
      </c>
      <c r="B64" s="12" t="s">
        <v>49</v>
      </c>
      <c r="C64" s="12" t="s">
        <v>164</v>
      </c>
      <c r="D64" s="13" t="s">
        <v>2080</v>
      </c>
      <c r="E64" s="13" t="s">
        <v>2081</v>
      </c>
      <c r="F64" s="13" t="s">
        <v>2082</v>
      </c>
      <c r="G64" s="13" t="s">
        <v>144</v>
      </c>
      <c r="H64" s="13" t="s">
        <v>93</v>
      </c>
      <c r="I64" s="13" t="s">
        <v>1264</v>
      </c>
      <c r="J64" s="13" t="s">
        <v>2085</v>
      </c>
      <c r="K64" s="13" t="s">
        <v>2083</v>
      </c>
      <c r="L64" s="14" t="s">
        <v>2086</v>
      </c>
      <c r="M64" s="14" t="s">
        <v>41</v>
      </c>
      <c r="N64" s="14"/>
      <c r="O64" s="14" t="s">
        <v>2087</v>
      </c>
      <c r="P64" s="14" t="s">
        <v>41</v>
      </c>
      <c r="Q64" s="14"/>
      <c r="R64" s="14" t="s">
        <v>1728</v>
      </c>
    </row>
    <row r="65" customFormat="false" ht="57.45" hidden="false" customHeight="false" outlineLevel="0" collapsed="false">
      <c r="A65" s="12" t="s">
        <v>2079</v>
      </c>
      <c r="B65" s="12" t="s">
        <v>49</v>
      </c>
      <c r="C65" s="12" t="s">
        <v>386</v>
      </c>
      <c r="D65" s="13" t="s">
        <v>2080</v>
      </c>
      <c r="E65" s="13" t="s">
        <v>2081</v>
      </c>
      <c r="F65" s="13" t="s">
        <v>2082</v>
      </c>
      <c r="G65" s="13" t="s">
        <v>144</v>
      </c>
      <c r="H65" s="13" t="s">
        <v>93</v>
      </c>
      <c r="I65" s="13" t="s">
        <v>1264</v>
      </c>
      <c r="J65" s="13" t="s">
        <v>2088</v>
      </c>
      <c r="K65" s="13" t="s">
        <v>2083</v>
      </c>
      <c r="L65" s="14" t="s">
        <v>2086</v>
      </c>
      <c r="M65" s="14" t="s">
        <v>43</v>
      </c>
      <c r="N65" s="14" t="s">
        <v>2089</v>
      </c>
      <c r="O65" s="14" t="s">
        <v>2090</v>
      </c>
      <c r="P65" s="14" t="s">
        <v>41</v>
      </c>
      <c r="Q65" s="14"/>
      <c r="R65" s="14" t="s">
        <v>1728</v>
      </c>
    </row>
    <row r="66" customFormat="false" ht="35.05" hidden="false" customHeight="false" outlineLevel="0" collapsed="false">
      <c r="A66" s="12" t="s">
        <v>2079</v>
      </c>
      <c r="B66" s="12" t="s">
        <v>49</v>
      </c>
      <c r="C66" s="12" t="s">
        <v>1396</v>
      </c>
      <c r="D66" s="13" t="s">
        <v>2080</v>
      </c>
      <c r="E66" s="13" t="s">
        <v>2081</v>
      </c>
      <c r="F66" s="13" t="s">
        <v>2082</v>
      </c>
      <c r="G66" s="13" t="s">
        <v>144</v>
      </c>
      <c r="H66" s="13"/>
      <c r="I66" s="13" t="s">
        <v>387</v>
      </c>
      <c r="J66" s="13"/>
      <c r="K66" s="13" t="s">
        <v>2083</v>
      </c>
      <c r="L66" s="14" t="s">
        <v>1768</v>
      </c>
      <c r="M66" s="14" t="s">
        <v>43</v>
      </c>
      <c r="N66" s="14" t="s">
        <v>2089</v>
      </c>
      <c r="O66" s="14"/>
      <c r="P66" s="14"/>
      <c r="Q66" s="14"/>
      <c r="R66" s="14"/>
    </row>
    <row r="67" customFormat="false" ht="35.05" hidden="false" customHeight="false" outlineLevel="0" collapsed="false">
      <c r="A67" s="12" t="s">
        <v>2079</v>
      </c>
      <c r="B67" s="12" t="s">
        <v>49</v>
      </c>
      <c r="C67" s="12" t="s">
        <v>1664</v>
      </c>
      <c r="D67" s="13" t="s">
        <v>2080</v>
      </c>
      <c r="E67" s="13" t="s">
        <v>2081</v>
      </c>
      <c r="F67" s="13" t="s">
        <v>2082</v>
      </c>
      <c r="G67" s="13" t="s">
        <v>144</v>
      </c>
      <c r="H67" s="13"/>
      <c r="I67" s="13" t="s">
        <v>387</v>
      </c>
      <c r="J67" s="13"/>
      <c r="K67" s="13" t="s">
        <v>2083</v>
      </c>
      <c r="L67" s="14" t="s">
        <v>1768</v>
      </c>
      <c r="M67" s="14" t="s">
        <v>43</v>
      </c>
      <c r="N67" s="14"/>
      <c r="O67" s="14"/>
      <c r="P67" s="14"/>
      <c r="Q67" s="14"/>
      <c r="R67" s="14"/>
    </row>
    <row r="68" customFormat="false" ht="35.05" hidden="false" customHeight="false" outlineLevel="0" collapsed="false">
      <c r="A68" s="12" t="s">
        <v>2079</v>
      </c>
      <c r="B68" s="12" t="s">
        <v>49</v>
      </c>
      <c r="C68" s="12" t="s">
        <v>2091</v>
      </c>
      <c r="D68" s="13" t="s">
        <v>2080</v>
      </c>
      <c r="E68" s="13" t="s">
        <v>2081</v>
      </c>
      <c r="F68" s="13" t="s">
        <v>2082</v>
      </c>
      <c r="G68" s="13" t="s">
        <v>144</v>
      </c>
      <c r="H68" s="13"/>
      <c r="I68" s="13" t="s">
        <v>387</v>
      </c>
      <c r="J68" s="13"/>
      <c r="K68" s="13" t="s">
        <v>2083</v>
      </c>
      <c r="L68" s="14" t="s">
        <v>1768</v>
      </c>
      <c r="M68" s="14" t="s">
        <v>43</v>
      </c>
      <c r="N68" s="14"/>
      <c r="O68" s="14"/>
      <c r="P68" s="14"/>
      <c r="Q68" s="14"/>
      <c r="R68" s="14"/>
    </row>
    <row r="69" customFormat="false" ht="23.85" hidden="false" customHeight="false" outlineLevel="0" collapsed="false">
      <c r="A69" s="12" t="s">
        <v>2092</v>
      </c>
      <c r="B69" s="12" t="s">
        <v>49</v>
      </c>
      <c r="C69" s="12" t="s">
        <v>142</v>
      </c>
      <c r="D69" s="13" t="s">
        <v>2093</v>
      </c>
      <c r="E69" s="13" t="s">
        <v>2094</v>
      </c>
      <c r="F69" s="13" t="s">
        <v>2095</v>
      </c>
      <c r="G69" s="13" t="s">
        <v>144</v>
      </c>
      <c r="H69" s="13" t="s">
        <v>95</v>
      </c>
      <c r="I69" s="13" t="s">
        <v>1605</v>
      </c>
      <c r="J69" s="13" t="s">
        <v>1606</v>
      </c>
      <c r="K69" s="13" t="s">
        <v>2096</v>
      </c>
      <c r="L69" s="14" t="s">
        <v>1608</v>
      </c>
      <c r="M69" s="14" t="s">
        <v>41</v>
      </c>
      <c r="N69" s="14"/>
      <c r="O69" s="14" t="s">
        <v>1608</v>
      </c>
      <c r="P69" s="14" t="s">
        <v>41</v>
      </c>
      <c r="Q69" s="14"/>
      <c r="R69" s="14" t="s">
        <v>1728</v>
      </c>
    </row>
    <row r="70" customFormat="false" ht="23.85" hidden="false" customHeight="false" outlineLevel="0" collapsed="false">
      <c r="A70" s="12" t="s">
        <v>2092</v>
      </c>
      <c r="B70" s="12" t="s">
        <v>49</v>
      </c>
      <c r="C70" s="12" t="s">
        <v>164</v>
      </c>
      <c r="D70" s="13" t="s">
        <v>2093</v>
      </c>
      <c r="E70" s="13" t="s">
        <v>2094</v>
      </c>
      <c r="F70" s="13" t="s">
        <v>2095</v>
      </c>
      <c r="G70" s="13" t="s">
        <v>144</v>
      </c>
      <c r="H70" s="13" t="s">
        <v>97</v>
      </c>
      <c r="I70" s="13" t="s">
        <v>1669</v>
      </c>
      <c r="J70" s="13" t="s">
        <v>2097</v>
      </c>
      <c r="K70" s="13" t="s">
        <v>2096</v>
      </c>
      <c r="L70" s="14" t="s">
        <v>2098</v>
      </c>
      <c r="M70" s="14" t="s">
        <v>41</v>
      </c>
      <c r="N70" s="14"/>
      <c r="O70" s="14" t="s">
        <v>2098</v>
      </c>
      <c r="P70" s="14" t="s">
        <v>41</v>
      </c>
      <c r="Q70" s="14"/>
      <c r="R70" s="14" t="s">
        <v>1728</v>
      </c>
    </row>
    <row r="71" customFormat="false" ht="35.05" hidden="false" customHeight="false" outlineLevel="0" collapsed="false">
      <c r="A71" s="12" t="s">
        <v>2099</v>
      </c>
      <c r="B71" s="12" t="s">
        <v>49</v>
      </c>
      <c r="C71" s="12" t="s">
        <v>142</v>
      </c>
      <c r="D71" s="13" t="s">
        <v>2100</v>
      </c>
      <c r="E71" s="13" t="s">
        <v>2101</v>
      </c>
      <c r="F71" s="13" t="s">
        <v>2102</v>
      </c>
      <c r="G71" s="13" t="s">
        <v>144</v>
      </c>
      <c r="H71" s="13" t="s">
        <v>93</v>
      </c>
      <c r="I71" s="13" t="s">
        <v>1274</v>
      </c>
      <c r="J71" s="13" t="s">
        <v>1552</v>
      </c>
      <c r="K71" s="13" t="s">
        <v>2103</v>
      </c>
      <c r="L71" s="14" t="s">
        <v>2104</v>
      </c>
      <c r="M71" s="14" t="s">
        <v>41</v>
      </c>
      <c r="N71" s="14"/>
      <c r="O71" s="14" t="s">
        <v>2104</v>
      </c>
      <c r="P71" s="14" t="s">
        <v>41</v>
      </c>
      <c r="Q71" s="14"/>
      <c r="R71" s="14" t="s">
        <v>1728</v>
      </c>
    </row>
    <row r="72" customFormat="false" ht="35.05" hidden="false" customHeight="false" outlineLevel="0" collapsed="false">
      <c r="A72" s="12" t="s">
        <v>2099</v>
      </c>
      <c r="B72" s="12" t="s">
        <v>49</v>
      </c>
      <c r="C72" s="12" t="s">
        <v>164</v>
      </c>
      <c r="D72" s="13" t="s">
        <v>2100</v>
      </c>
      <c r="E72" s="13" t="s">
        <v>2101</v>
      </c>
      <c r="F72" s="13" t="s">
        <v>2102</v>
      </c>
      <c r="G72" s="13" t="s">
        <v>144</v>
      </c>
      <c r="H72" s="13" t="s">
        <v>95</v>
      </c>
      <c r="I72" s="13" t="s">
        <v>1647</v>
      </c>
      <c r="J72" s="13" t="s">
        <v>2105</v>
      </c>
      <c r="K72" s="13" t="s">
        <v>2103</v>
      </c>
      <c r="L72" s="14" t="s">
        <v>2106</v>
      </c>
      <c r="M72" s="14" t="s">
        <v>41</v>
      </c>
      <c r="N72" s="14"/>
      <c r="O72" s="14" t="s">
        <v>2106</v>
      </c>
      <c r="P72" s="14" t="s">
        <v>41</v>
      </c>
      <c r="Q72" s="14"/>
      <c r="R72" s="14" t="s">
        <v>1728</v>
      </c>
    </row>
    <row r="73" customFormat="false" ht="35.05" hidden="false" customHeight="false" outlineLevel="0" collapsed="false">
      <c r="A73" s="12" t="s">
        <v>2107</v>
      </c>
      <c r="B73" s="12" t="s">
        <v>49</v>
      </c>
      <c r="C73" s="12" t="s">
        <v>142</v>
      </c>
      <c r="D73" s="13" t="s">
        <v>2108</v>
      </c>
      <c r="E73" s="13" t="s">
        <v>2109</v>
      </c>
      <c r="F73" s="13" t="s">
        <v>2110</v>
      </c>
      <c r="G73" s="13" t="s">
        <v>144</v>
      </c>
      <c r="H73" s="13" t="s">
        <v>95</v>
      </c>
      <c r="I73" s="13" t="s">
        <v>1647</v>
      </c>
      <c r="J73" s="13" t="s">
        <v>2111</v>
      </c>
      <c r="K73" s="13" t="s">
        <v>2112</v>
      </c>
      <c r="L73" s="14" t="s">
        <v>2113</v>
      </c>
      <c r="M73" s="14" t="s">
        <v>41</v>
      </c>
      <c r="N73" s="14"/>
      <c r="O73" s="14" t="s">
        <v>2113</v>
      </c>
      <c r="P73" s="14" t="s">
        <v>41</v>
      </c>
      <c r="Q73" s="14"/>
      <c r="R73" s="14" t="s">
        <v>1728</v>
      </c>
    </row>
    <row r="74" customFormat="false" ht="23.85" hidden="false" customHeight="false" outlineLevel="0" collapsed="false">
      <c r="A74" s="12" t="s">
        <v>2107</v>
      </c>
      <c r="B74" s="12" t="s">
        <v>49</v>
      </c>
      <c r="C74" s="12" t="s">
        <v>164</v>
      </c>
      <c r="D74" s="13" t="s">
        <v>2108</v>
      </c>
      <c r="E74" s="13" t="s">
        <v>2109</v>
      </c>
      <c r="F74" s="13" t="s">
        <v>2110</v>
      </c>
      <c r="G74" s="13" t="s">
        <v>144</v>
      </c>
      <c r="H74" s="13" t="s">
        <v>95</v>
      </c>
      <c r="I74" s="13" t="s">
        <v>1605</v>
      </c>
      <c r="J74" s="13" t="s">
        <v>2114</v>
      </c>
      <c r="K74" s="13" t="s">
        <v>2112</v>
      </c>
      <c r="L74" s="14" t="s">
        <v>2115</v>
      </c>
      <c r="M74" s="14" t="s">
        <v>41</v>
      </c>
      <c r="N74" s="14"/>
      <c r="O74" s="14" t="s">
        <v>2115</v>
      </c>
      <c r="P74" s="14" t="s">
        <v>41</v>
      </c>
      <c r="Q74" s="14"/>
      <c r="R74" s="14" t="s">
        <v>1728</v>
      </c>
    </row>
    <row r="75" customFormat="false" ht="35.05" hidden="false" customHeight="false" outlineLevel="0" collapsed="false">
      <c r="A75" s="12" t="s">
        <v>2116</v>
      </c>
      <c r="B75" s="12" t="s">
        <v>49</v>
      </c>
      <c r="C75" s="12" t="s">
        <v>142</v>
      </c>
      <c r="D75" s="13" t="s">
        <v>2117</v>
      </c>
      <c r="E75" s="13" t="s">
        <v>2118</v>
      </c>
      <c r="F75" s="13" t="s">
        <v>2119</v>
      </c>
      <c r="G75" s="13" t="s">
        <v>144</v>
      </c>
      <c r="H75" s="13" t="s">
        <v>1627</v>
      </c>
      <c r="I75" s="13" t="s">
        <v>1628</v>
      </c>
      <c r="J75" s="13" t="s">
        <v>2120</v>
      </c>
      <c r="K75" s="13" t="s">
        <v>2121</v>
      </c>
      <c r="L75" s="14" t="s">
        <v>2122</v>
      </c>
      <c r="M75" s="14" t="s">
        <v>41</v>
      </c>
      <c r="N75" s="14"/>
      <c r="O75" s="14" t="s">
        <v>2122</v>
      </c>
      <c r="P75" s="14" t="s">
        <v>41</v>
      </c>
      <c r="Q75" s="14"/>
      <c r="R75" s="14" t="s">
        <v>1728</v>
      </c>
    </row>
    <row r="76" customFormat="false" ht="23.85" hidden="false" customHeight="false" outlineLevel="0" collapsed="false">
      <c r="A76" s="12" t="s">
        <v>2116</v>
      </c>
      <c r="B76" s="12" t="s">
        <v>49</v>
      </c>
      <c r="C76" s="12" t="s">
        <v>164</v>
      </c>
      <c r="D76" s="13" t="s">
        <v>2117</v>
      </c>
      <c r="E76" s="13" t="s">
        <v>2118</v>
      </c>
      <c r="F76" s="13" t="s">
        <v>2119</v>
      </c>
      <c r="G76" s="13" t="s">
        <v>144</v>
      </c>
      <c r="H76" s="13" t="s">
        <v>95</v>
      </c>
      <c r="I76" s="13" t="s">
        <v>1605</v>
      </c>
      <c r="J76" s="13" t="s">
        <v>1843</v>
      </c>
      <c r="K76" s="13" t="s">
        <v>2121</v>
      </c>
      <c r="L76" s="14" t="s">
        <v>1845</v>
      </c>
      <c r="M76" s="14" t="s">
        <v>41</v>
      </c>
      <c r="N76" s="14"/>
      <c r="O76" s="14" t="s">
        <v>1845</v>
      </c>
      <c r="P76" s="14" t="s">
        <v>41</v>
      </c>
      <c r="Q76" s="14"/>
      <c r="R76" s="14" t="s">
        <v>1728</v>
      </c>
    </row>
  </sheetData>
  <conditionalFormatting sqref="M5:M76">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76">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2123</v>
      </c>
    </row>
    <row r="2" customFormat="false" ht="15" hidden="false" customHeight="false" outlineLevel="0" collapsed="false">
      <c r="A2" s="2" t="s">
        <v>2124</v>
      </c>
    </row>
    <row r="3" customFormat="false" ht="15" hidden="false" customHeight="false" outlineLevel="0" collapsed="false">
      <c r="A3" s="2" t="s">
        <v>2125</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1256</v>
      </c>
      <c r="P4" s="8" t="s">
        <v>1257</v>
      </c>
      <c r="Q4" s="8" t="s">
        <v>1258</v>
      </c>
      <c r="R4" s="8" t="s">
        <v>1259</v>
      </c>
    </row>
    <row r="5" customFormat="false" ht="57.45" hidden="false" customHeight="false" outlineLevel="0" collapsed="false">
      <c r="A5" s="12" t="s">
        <v>2126</v>
      </c>
      <c r="B5" s="12" t="s">
        <v>45</v>
      </c>
      <c r="C5" s="12" t="s">
        <v>142</v>
      </c>
      <c r="D5" s="13" t="s">
        <v>2127</v>
      </c>
      <c r="E5" s="13" t="s">
        <v>2128</v>
      </c>
      <c r="F5" s="13" t="s">
        <v>2129</v>
      </c>
      <c r="G5" s="13" t="s">
        <v>144</v>
      </c>
      <c r="H5" s="13" t="s">
        <v>97</v>
      </c>
      <c r="I5" s="13" t="s">
        <v>1613</v>
      </c>
      <c r="J5" s="13" t="s">
        <v>1614</v>
      </c>
      <c r="K5" s="13" t="s">
        <v>2130</v>
      </c>
      <c r="L5" s="14" t="s">
        <v>2131</v>
      </c>
      <c r="M5" s="14" t="s">
        <v>41</v>
      </c>
      <c r="N5" s="14"/>
      <c r="O5" s="14" t="s">
        <v>2132</v>
      </c>
      <c r="P5" s="14" t="s">
        <v>43</v>
      </c>
      <c r="Q5" s="14" t="s">
        <v>2133</v>
      </c>
      <c r="R5" s="14" t="s">
        <v>2134</v>
      </c>
    </row>
    <row r="6" customFormat="false" ht="57.45" hidden="false" customHeight="false" outlineLevel="0" collapsed="false">
      <c r="A6" s="12" t="s">
        <v>2126</v>
      </c>
      <c r="B6" s="12" t="s">
        <v>45</v>
      </c>
      <c r="C6" s="12" t="s">
        <v>164</v>
      </c>
      <c r="D6" s="13" t="s">
        <v>2127</v>
      </c>
      <c r="E6" s="13" t="s">
        <v>2128</v>
      </c>
      <c r="F6" s="13" t="s">
        <v>2129</v>
      </c>
      <c r="G6" s="13" t="s">
        <v>144</v>
      </c>
      <c r="H6" s="13" t="s">
        <v>95</v>
      </c>
      <c r="I6" s="13" t="s">
        <v>1647</v>
      </c>
      <c r="J6" s="13" t="s">
        <v>2135</v>
      </c>
      <c r="K6" s="13" t="s">
        <v>2130</v>
      </c>
      <c r="L6" s="14" t="s">
        <v>2136</v>
      </c>
      <c r="M6" s="14" t="s">
        <v>41</v>
      </c>
      <c r="N6" s="14"/>
      <c r="O6" s="14" t="s">
        <v>2137</v>
      </c>
      <c r="P6" s="14" t="s">
        <v>41</v>
      </c>
      <c r="Q6" s="14"/>
      <c r="R6" s="14" t="s">
        <v>2134</v>
      </c>
    </row>
    <row r="7" customFormat="false" ht="35.05" hidden="false" customHeight="false" outlineLevel="0" collapsed="false">
      <c r="A7" s="12" t="s">
        <v>2126</v>
      </c>
      <c r="B7" s="12" t="s">
        <v>45</v>
      </c>
      <c r="C7" s="12" t="s">
        <v>386</v>
      </c>
      <c r="D7" s="13" t="s">
        <v>2127</v>
      </c>
      <c r="E7" s="13" t="s">
        <v>2128</v>
      </c>
      <c r="F7" s="13" t="s">
        <v>2129</v>
      </c>
      <c r="G7" s="13" t="s">
        <v>144</v>
      </c>
      <c r="H7" s="13" t="s">
        <v>95</v>
      </c>
      <c r="I7" s="13" t="s">
        <v>1605</v>
      </c>
      <c r="J7" s="13" t="s">
        <v>2138</v>
      </c>
      <c r="K7" s="13" t="s">
        <v>2130</v>
      </c>
      <c r="L7" s="14" t="s">
        <v>2139</v>
      </c>
      <c r="M7" s="14" t="s">
        <v>41</v>
      </c>
      <c r="N7" s="14"/>
      <c r="O7" s="14" t="s">
        <v>2139</v>
      </c>
      <c r="P7" s="14" t="s">
        <v>41</v>
      </c>
      <c r="Q7" s="14"/>
      <c r="R7" s="14" t="s">
        <v>2134</v>
      </c>
    </row>
    <row r="8" customFormat="false" ht="35.05" hidden="false" customHeight="false" outlineLevel="0" collapsed="false">
      <c r="A8" s="12" t="s">
        <v>2140</v>
      </c>
      <c r="B8" s="12" t="s">
        <v>45</v>
      </c>
      <c r="C8" s="12" t="s">
        <v>142</v>
      </c>
      <c r="D8" s="13" t="s">
        <v>2141</v>
      </c>
      <c r="E8" s="13" t="s">
        <v>2142</v>
      </c>
      <c r="F8" s="13" t="s">
        <v>2143</v>
      </c>
      <c r="G8" s="13" t="s">
        <v>206</v>
      </c>
      <c r="H8" s="13" t="s">
        <v>97</v>
      </c>
      <c r="I8" s="13" t="s">
        <v>1613</v>
      </c>
      <c r="J8" s="13" t="s">
        <v>2144</v>
      </c>
      <c r="K8" s="13" t="s">
        <v>2145</v>
      </c>
      <c r="L8" s="14" t="s">
        <v>2146</v>
      </c>
      <c r="M8" s="14" t="s">
        <v>41</v>
      </c>
      <c r="N8" s="14"/>
      <c r="O8" s="14" t="s">
        <v>2146</v>
      </c>
      <c r="P8" s="14" t="s">
        <v>41</v>
      </c>
      <c r="Q8" s="14"/>
      <c r="R8" s="14" t="s">
        <v>2134</v>
      </c>
    </row>
    <row r="9" customFormat="false" ht="57.45" hidden="false" customHeight="false" outlineLevel="0" collapsed="false">
      <c r="A9" s="12" t="s">
        <v>2147</v>
      </c>
      <c r="B9" s="12" t="s">
        <v>45</v>
      </c>
      <c r="C9" s="12" t="s">
        <v>142</v>
      </c>
      <c r="D9" s="13" t="s">
        <v>2148</v>
      </c>
      <c r="E9" s="13" t="s">
        <v>2149</v>
      </c>
      <c r="F9" s="13" t="s">
        <v>2150</v>
      </c>
      <c r="G9" s="13" t="s">
        <v>144</v>
      </c>
      <c r="H9" s="13" t="s">
        <v>97</v>
      </c>
      <c r="I9" s="13" t="s">
        <v>1613</v>
      </c>
      <c r="J9" s="13" t="s">
        <v>2151</v>
      </c>
      <c r="K9" s="13" t="s">
        <v>2152</v>
      </c>
      <c r="L9" s="14" t="s">
        <v>2153</v>
      </c>
      <c r="M9" s="14" t="s">
        <v>41</v>
      </c>
      <c r="N9" s="14"/>
      <c r="O9" s="14" t="s">
        <v>2154</v>
      </c>
      <c r="P9" s="14" t="s">
        <v>41</v>
      </c>
      <c r="Q9" s="14"/>
      <c r="R9" s="14" t="s">
        <v>2134</v>
      </c>
    </row>
    <row r="10" customFormat="false" ht="68.65" hidden="false" customHeight="false" outlineLevel="0" collapsed="false">
      <c r="A10" s="12" t="s">
        <v>2147</v>
      </c>
      <c r="B10" s="12" t="s">
        <v>45</v>
      </c>
      <c r="C10" s="12" t="s">
        <v>164</v>
      </c>
      <c r="D10" s="13" t="s">
        <v>2148</v>
      </c>
      <c r="E10" s="13" t="s">
        <v>2149</v>
      </c>
      <c r="F10" s="13" t="s">
        <v>2150</v>
      </c>
      <c r="G10" s="13" t="s">
        <v>144</v>
      </c>
      <c r="H10" s="13" t="s">
        <v>95</v>
      </c>
      <c r="I10" s="13" t="s">
        <v>1647</v>
      </c>
      <c r="J10" s="13" t="s">
        <v>2155</v>
      </c>
      <c r="K10" s="13" t="s">
        <v>2152</v>
      </c>
      <c r="L10" s="14" t="s">
        <v>2156</v>
      </c>
      <c r="M10" s="14" t="s">
        <v>41</v>
      </c>
      <c r="N10" s="14"/>
      <c r="O10" s="14" t="s">
        <v>2157</v>
      </c>
      <c r="P10" s="14" t="s">
        <v>41</v>
      </c>
      <c r="Q10" s="14"/>
      <c r="R10" s="14" t="s">
        <v>2134</v>
      </c>
    </row>
    <row r="11" customFormat="false" ht="57.45" hidden="false" customHeight="false" outlineLevel="0" collapsed="false">
      <c r="A11" s="12" t="s">
        <v>2158</v>
      </c>
      <c r="B11" s="12" t="s">
        <v>45</v>
      </c>
      <c r="C11" s="12" t="s">
        <v>142</v>
      </c>
      <c r="D11" s="13" t="s">
        <v>2159</v>
      </c>
      <c r="E11" s="13" t="s">
        <v>2160</v>
      </c>
      <c r="F11" s="13" t="s">
        <v>2161</v>
      </c>
      <c r="G11" s="13" t="s">
        <v>144</v>
      </c>
      <c r="H11" s="13" t="s">
        <v>97</v>
      </c>
      <c r="I11" s="13" t="s">
        <v>1613</v>
      </c>
      <c r="J11" s="13" t="s">
        <v>2162</v>
      </c>
      <c r="K11" s="13" t="s">
        <v>2163</v>
      </c>
      <c r="L11" s="14" t="s">
        <v>2164</v>
      </c>
      <c r="M11" s="14" t="s">
        <v>44</v>
      </c>
      <c r="N11" s="14" t="s">
        <v>2165</v>
      </c>
      <c r="O11" s="14" t="s">
        <v>2166</v>
      </c>
      <c r="P11" s="14" t="s">
        <v>41</v>
      </c>
      <c r="Q11" s="14"/>
      <c r="R11" s="14" t="s">
        <v>2134</v>
      </c>
    </row>
    <row r="12" customFormat="false" ht="57.45" hidden="false" customHeight="false" outlineLevel="0" collapsed="false">
      <c r="A12" s="12" t="s">
        <v>2158</v>
      </c>
      <c r="B12" s="12" t="s">
        <v>45</v>
      </c>
      <c r="C12" s="12" t="s">
        <v>164</v>
      </c>
      <c r="D12" s="13" t="s">
        <v>2159</v>
      </c>
      <c r="E12" s="13" t="s">
        <v>2160</v>
      </c>
      <c r="F12" s="13" t="s">
        <v>2161</v>
      </c>
      <c r="G12" s="13" t="s">
        <v>144</v>
      </c>
      <c r="H12" s="13" t="s">
        <v>95</v>
      </c>
      <c r="I12" s="13" t="s">
        <v>1647</v>
      </c>
      <c r="J12" s="13" t="s">
        <v>2167</v>
      </c>
      <c r="K12" s="13" t="s">
        <v>2163</v>
      </c>
      <c r="L12" s="14" t="s">
        <v>2164</v>
      </c>
      <c r="M12" s="14" t="s">
        <v>44</v>
      </c>
      <c r="N12" s="14" t="s">
        <v>242</v>
      </c>
      <c r="O12" s="14" t="s">
        <v>2168</v>
      </c>
      <c r="P12" s="14" t="s">
        <v>41</v>
      </c>
      <c r="Q12" s="14"/>
      <c r="R12" s="14" t="s">
        <v>2134</v>
      </c>
    </row>
    <row r="13" customFormat="false" ht="46.25" hidden="false" customHeight="false" outlineLevel="0" collapsed="false">
      <c r="A13" s="12" t="s">
        <v>2158</v>
      </c>
      <c r="B13" s="12" t="s">
        <v>45</v>
      </c>
      <c r="C13" s="12" t="s">
        <v>386</v>
      </c>
      <c r="D13" s="13" t="s">
        <v>2159</v>
      </c>
      <c r="E13" s="13" t="s">
        <v>2160</v>
      </c>
      <c r="F13" s="13" t="s">
        <v>2161</v>
      </c>
      <c r="G13" s="13" t="s">
        <v>144</v>
      </c>
      <c r="H13" s="13" t="s">
        <v>97</v>
      </c>
      <c r="I13" s="13" t="s">
        <v>1669</v>
      </c>
      <c r="J13" s="13" t="s">
        <v>2169</v>
      </c>
      <c r="K13" s="13" t="s">
        <v>2163</v>
      </c>
      <c r="L13" s="14" t="s">
        <v>2170</v>
      </c>
      <c r="M13" s="14" t="s">
        <v>43</v>
      </c>
      <c r="N13" s="14" t="s">
        <v>2171</v>
      </c>
      <c r="O13" s="14" t="s">
        <v>2172</v>
      </c>
      <c r="P13" s="14" t="s">
        <v>41</v>
      </c>
      <c r="Q13" s="14"/>
      <c r="R13" s="14" t="s">
        <v>2134</v>
      </c>
    </row>
    <row r="14" customFormat="false" ht="46.25" hidden="false" customHeight="false" outlineLevel="0" collapsed="false">
      <c r="A14" s="12" t="s">
        <v>2173</v>
      </c>
      <c r="B14" s="12" t="s">
        <v>45</v>
      </c>
      <c r="C14" s="12" t="s">
        <v>142</v>
      </c>
      <c r="D14" s="13" t="s">
        <v>2174</v>
      </c>
      <c r="E14" s="13" t="s">
        <v>2175</v>
      </c>
      <c r="F14" s="13" t="s">
        <v>2176</v>
      </c>
      <c r="G14" s="13" t="s">
        <v>144</v>
      </c>
      <c r="H14" s="13" t="s">
        <v>97</v>
      </c>
      <c r="I14" s="13" t="s">
        <v>1613</v>
      </c>
      <c r="J14" s="13" t="s">
        <v>2177</v>
      </c>
      <c r="K14" s="13" t="s">
        <v>2178</v>
      </c>
      <c r="L14" s="14" t="s">
        <v>2179</v>
      </c>
      <c r="M14" s="14" t="s">
        <v>41</v>
      </c>
      <c r="N14" s="14"/>
      <c r="O14" s="14" t="s">
        <v>2179</v>
      </c>
      <c r="P14" s="14" t="s">
        <v>41</v>
      </c>
      <c r="Q14" s="14"/>
      <c r="R14" s="14" t="s">
        <v>2134</v>
      </c>
    </row>
    <row r="15" customFormat="false" ht="46.25" hidden="false" customHeight="false" outlineLevel="0" collapsed="false">
      <c r="A15" s="12" t="s">
        <v>2173</v>
      </c>
      <c r="B15" s="12" t="s">
        <v>45</v>
      </c>
      <c r="C15" s="12" t="s">
        <v>164</v>
      </c>
      <c r="D15" s="13" t="s">
        <v>2174</v>
      </c>
      <c r="E15" s="13" t="s">
        <v>2175</v>
      </c>
      <c r="F15" s="13" t="s">
        <v>2176</v>
      </c>
      <c r="G15" s="13" t="s">
        <v>144</v>
      </c>
      <c r="H15" s="13" t="s">
        <v>95</v>
      </c>
      <c r="I15" s="13" t="s">
        <v>1647</v>
      </c>
      <c r="J15" s="13" t="s">
        <v>2180</v>
      </c>
      <c r="K15" s="13" t="s">
        <v>2178</v>
      </c>
      <c r="L15" s="14" t="s">
        <v>2181</v>
      </c>
      <c r="M15" s="14" t="s">
        <v>41</v>
      </c>
      <c r="N15" s="14"/>
      <c r="O15" s="14" t="s">
        <v>2181</v>
      </c>
      <c r="P15" s="14" t="s">
        <v>41</v>
      </c>
      <c r="Q15" s="14"/>
      <c r="R15" s="14" t="s">
        <v>2134</v>
      </c>
    </row>
    <row r="16" customFormat="false" ht="46.25" hidden="false" customHeight="false" outlineLevel="0" collapsed="false">
      <c r="A16" s="12" t="s">
        <v>2173</v>
      </c>
      <c r="B16" s="12" t="s">
        <v>45</v>
      </c>
      <c r="C16" s="12" t="s">
        <v>386</v>
      </c>
      <c r="D16" s="13" t="s">
        <v>2174</v>
      </c>
      <c r="E16" s="13" t="s">
        <v>2175</v>
      </c>
      <c r="F16" s="13" t="s">
        <v>2176</v>
      </c>
      <c r="G16" s="13" t="s">
        <v>144</v>
      </c>
      <c r="H16" s="13" t="s">
        <v>95</v>
      </c>
      <c r="I16" s="13" t="s">
        <v>1605</v>
      </c>
      <c r="J16" s="13" t="s">
        <v>2182</v>
      </c>
      <c r="K16" s="13" t="s">
        <v>2178</v>
      </c>
      <c r="L16" s="14" t="s">
        <v>2183</v>
      </c>
      <c r="M16" s="14" t="s">
        <v>41</v>
      </c>
      <c r="N16" s="14"/>
      <c r="O16" s="14" t="s">
        <v>2183</v>
      </c>
      <c r="P16" s="14" t="s">
        <v>41</v>
      </c>
      <c r="Q16" s="14"/>
      <c r="R16" s="14" t="s">
        <v>2134</v>
      </c>
    </row>
    <row r="17" customFormat="false" ht="46.25" hidden="false" customHeight="false" outlineLevel="0" collapsed="false">
      <c r="A17" s="12" t="s">
        <v>2173</v>
      </c>
      <c r="B17" s="12" t="s">
        <v>45</v>
      </c>
      <c r="C17" s="12" t="s">
        <v>409</v>
      </c>
      <c r="D17" s="13" t="s">
        <v>2174</v>
      </c>
      <c r="E17" s="13" t="s">
        <v>2175</v>
      </c>
      <c r="F17" s="13" t="s">
        <v>2176</v>
      </c>
      <c r="G17" s="13" t="s">
        <v>144</v>
      </c>
      <c r="H17" s="13" t="s">
        <v>97</v>
      </c>
      <c r="I17" s="13" t="s">
        <v>1669</v>
      </c>
      <c r="J17" s="13" t="s">
        <v>2184</v>
      </c>
      <c r="K17" s="13" t="s">
        <v>2178</v>
      </c>
      <c r="L17" s="14" t="s">
        <v>2185</v>
      </c>
      <c r="M17" s="14" t="s">
        <v>44</v>
      </c>
      <c r="N17" s="14"/>
      <c r="O17" s="14" t="s">
        <v>2186</v>
      </c>
      <c r="P17" s="14" t="s">
        <v>41</v>
      </c>
      <c r="Q17" s="14"/>
      <c r="R17" s="14" t="s">
        <v>2134</v>
      </c>
    </row>
    <row r="18" customFormat="false" ht="57.45" hidden="false" customHeight="false" outlineLevel="0" collapsed="false">
      <c r="A18" s="12" t="s">
        <v>2187</v>
      </c>
      <c r="B18" s="12" t="s">
        <v>45</v>
      </c>
      <c r="C18" s="12" t="s">
        <v>142</v>
      </c>
      <c r="D18" s="13" t="s">
        <v>2188</v>
      </c>
      <c r="E18" s="13" t="s">
        <v>2189</v>
      </c>
      <c r="F18" s="13" t="s">
        <v>2190</v>
      </c>
      <c r="G18" s="13" t="s">
        <v>144</v>
      </c>
      <c r="H18" s="13" t="s">
        <v>97</v>
      </c>
      <c r="I18" s="13" t="s">
        <v>1613</v>
      </c>
      <c r="J18" s="13" t="s">
        <v>2191</v>
      </c>
      <c r="K18" s="13" t="s">
        <v>2192</v>
      </c>
      <c r="L18" s="14" t="s">
        <v>1814</v>
      </c>
      <c r="M18" s="14" t="s">
        <v>44</v>
      </c>
      <c r="N18" s="14" t="s">
        <v>2165</v>
      </c>
      <c r="O18" s="14" t="s">
        <v>2193</v>
      </c>
      <c r="P18" s="14" t="s">
        <v>41</v>
      </c>
      <c r="Q18" s="14"/>
      <c r="R18" s="14" t="s">
        <v>2134</v>
      </c>
    </row>
    <row r="19" customFormat="false" ht="23.85" hidden="false" customHeight="false" outlineLevel="0" collapsed="false">
      <c r="A19" s="12" t="s">
        <v>2194</v>
      </c>
      <c r="B19" s="12" t="s">
        <v>45</v>
      </c>
      <c r="C19" s="12" t="s">
        <v>142</v>
      </c>
      <c r="D19" s="13" t="s">
        <v>2195</v>
      </c>
      <c r="E19" s="13" t="s">
        <v>2196</v>
      </c>
      <c r="F19" s="13" t="s">
        <v>2197</v>
      </c>
      <c r="G19" s="13" t="s">
        <v>144</v>
      </c>
      <c r="H19" s="13" t="s">
        <v>97</v>
      </c>
      <c r="I19" s="13" t="s">
        <v>1669</v>
      </c>
      <c r="J19" s="13" t="s">
        <v>2198</v>
      </c>
      <c r="K19" s="13" t="s">
        <v>2199</v>
      </c>
      <c r="L19" s="14" t="s">
        <v>2200</v>
      </c>
      <c r="M19" s="14" t="s">
        <v>44</v>
      </c>
      <c r="N19" s="14" t="s">
        <v>2201</v>
      </c>
      <c r="O19" s="14" t="s">
        <v>2202</v>
      </c>
      <c r="P19" s="14" t="s">
        <v>41</v>
      </c>
      <c r="Q19" s="14"/>
      <c r="R19" s="14" t="s">
        <v>2134</v>
      </c>
    </row>
    <row r="20" customFormat="false" ht="57.45" hidden="false" customHeight="false" outlineLevel="0" collapsed="false">
      <c r="A20" s="12" t="s">
        <v>2203</v>
      </c>
      <c r="B20" s="12" t="s">
        <v>45</v>
      </c>
      <c r="C20" s="12" t="s">
        <v>142</v>
      </c>
      <c r="D20" s="13" t="s">
        <v>2204</v>
      </c>
      <c r="E20" s="13" t="s">
        <v>2205</v>
      </c>
      <c r="F20" s="13" t="s">
        <v>2206</v>
      </c>
      <c r="G20" s="13" t="s">
        <v>144</v>
      </c>
      <c r="H20" s="13" t="s">
        <v>97</v>
      </c>
      <c r="I20" s="13" t="s">
        <v>1613</v>
      </c>
      <c r="J20" s="13" t="s">
        <v>2207</v>
      </c>
      <c r="K20" s="13" t="s">
        <v>2208</v>
      </c>
      <c r="L20" s="14" t="s">
        <v>2209</v>
      </c>
      <c r="M20" s="14" t="s">
        <v>41</v>
      </c>
      <c r="N20" s="14"/>
      <c r="O20" s="14" t="s">
        <v>2210</v>
      </c>
      <c r="P20" s="14" t="s">
        <v>41</v>
      </c>
      <c r="Q20" s="14"/>
      <c r="R20" s="14" t="s">
        <v>2134</v>
      </c>
    </row>
    <row r="21" customFormat="false" ht="57.45" hidden="false" customHeight="false" outlineLevel="0" collapsed="false">
      <c r="A21" s="12" t="s">
        <v>2211</v>
      </c>
      <c r="B21" s="12" t="s">
        <v>45</v>
      </c>
      <c r="C21" s="12" t="s">
        <v>142</v>
      </c>
      <c r="D21" s="13" t="s">
        <v>2212</v>
      </c>
      <c r="E21" s="13" t="s">
        <v>2213</v>
      </c>
      <c r="F21" s="13" t="s">
        <v>2214</v>
      </c>
      <c r="G21" s="13" t="s">
        <v>144</v>
      </c>
      <c r="H21" s="13" t="s">
        <v>97</v>
      </c>
      <c r="I21" s="13" t="s">
        <v>1613</v>
      </c>
      <c r="J21" s="13" t="s">
        <v>2215</v>
      </c>
      <c r="K21" s="13" t="s">
        <v>2216</v>
      </c>
      <c r="L21" s="14" t="s">
        <v>2217</v>
      </c>
      <c r="M21" s="14" t="s">
        <v>41</v>
      </c>
      <c r="N21" s="14"/>
      <c r="O21" s="14" t="s">
        <v>2218</v>
      </c>
      <c r="P21" s="14" t="s">
        <v>41</v>
      </c>
      <c r="Q21" s="14"/>
      <c r="R21" s="14" t="s">
        <v>2134</v>
      </c>
    </row>
    <row r="22" customFormat="false" ht="57.45" hidden="false" customHeight="false" outlineLevel="0" collapsed="false">
      <c r="A22" s="12" t="s">
        <v>2211</v>
      </c>
      <c r="B22" s="12" t="s">
        <v>45</v>
      </c>
      <c r="C22" s="12" t="s">
        <v>164</v>
      </c>
      <c r="D22" s="13" t="s">
        <v>2212</v>
      </c>
      <c r="E22" s="13" t="s">
        <v>2213</v>
      </c>
      <c r="F22" s="13" t="s">
        <v>2214</v>
      </c>
      <c r="G22" s="13" t="s">
        <v>144</v>
      </c>
      <c r="H22" s="13" t="s">
        <v>95</v>
      </c>
      <c r="I22" s="13" t="s">
        <v>1647</v>
      </c>
      <c r="J22" s="13" t="s">
        <v>2219</v>
      </c>
      <c r="K22" s="13" t="s">
        <v>2216</v>
      </c>
      <c r="L22" s="14" t="s">
        <v>2220</v>
      </c>
      <c r="M22" s="14" t="s">
        <v>41</v>
      </c>
      <c r="N22" s="14"/>
      <c r="O22" s="14" t="s">
        <v>2221</v>
      </c>
      <c r="P22" s="14" t="s">
        <v>41</v>
      </c>
      <c r="Q22" s="14"/>
      <c r="R22" s="14" t="s">
        <v>2134</v>
      </c>
    </row>
    <row r="23" customFormat="false" ht="46.25" hidden="false" customHeight="false" outlineLevel="0" collapsed="false">
      <c r="A23" s="12" t="s">
        <v>2211</v>
      </c>
      <c r="B23" s="12" t="s">
        <v>45</v>
      </c>
      <c r="C23" s="12" t="s">
        <v>386</v>
      </c>
      <c r="D23" s="13" t="s">
        <v>2212</v>
      </c>
      <c r="E23" s="13" t="s">
        <v>2213</v>
      </c>
      <c r="F23" s="13" t="s">
        <v>2214</v>
      </c>
      <c r="G23" s="13" t="s">
        <v>144</v>
      </c>
      <c r="H23" s="13" t="s">
        <v>95</v>
      </c>
      <c r="I23" s="13" t="s">
        <v>1605</v>
      </c>
      <c r="J23" s="13" t="s">
        <v>2222</v>
      </c>
      <c r="K23" s="13" t="s">
        <v>2216</v>
      </c>
      <c r="L23" s="14" t="s">
        <v>2223</v>
      </c>
      <c r="M23" s="14" t="s">
        <v>41</v>
      </c>
      <c r="N23" s="14"/>
      <c r="O23" s="14" t="s">
        <v>2223</v>
      </c>
      <c r="P23" s="14" t="s">
        <v>41</v>
      </c>
      <c r="Q23" s="14"/>
      <c r="R23" s="14" t="s">
        <v>2134</v>
      </c>
    </row>
    <row r="24" customFormat="false" ht="35.05" hidden="false" customHeight="false" outlineLevel="0" collapsed="false">
      <c r="A24" s="12" t="s">
        <v>2224</v>
      </c>
      <c r="B24" s="12" t="s">
        <v>45</v>
      </c>
      <c r="C24" s="12" t="s">
        <v>142</v>
      </c>
      <c r="D24" s="13" t="s">
        <v>2225</v>
      </c>
      <c r="E24" s="13" t="s">
        <v>2226</v>
      </c>
      <c r="F24" s="13" t="s">
        <v>2227</v>
      </c>
      <c r="G24" s="13" t="s">
        <v>144</v>
      </c>
      <c r="H24" s="13" t="s">
        <v>97</v>
      </c>
      <c r="I24" s="13" t="s">
        <v>1613</v>
      </c>
      <c r="J24" s="13" t="s">
        <v>2228</v>
      </c>
      <c r="K24" s="13" t="s">
        <v>2229</v>
      </c>
      <c r="L24" s="14" t="s">
        <v>2230</v>
      </c>
      <c r="M24" s="14" t="s">
        <v>41</v>
      </c>
      <c r="N24" s="14"/>
      <c r="O24" s="14" t="s">
        <v>2230</v>
      </c>
      <c r="P24" s="14" t="s">
        <v>41</v>
      </c>
      <c r="Q24" s="14"/>
      <c r="R24" s="14" t="s">
        <v>2134</v>
      </c>
    </row>
    <row r="25" customFormat="false" ht="35.05" hidden="false" customHeight="false" outlineLevel="0" collapsed="false">
      <c r="A25" s="12" t="s">
        <v>2224</v>
      </c>
      <c r="B25" s="12" t="s">
        <v>45</v>
      </c>
      <c r="C25" s="12" t="s">
        <v>164</v>
      </c>
      <c r="D25" s="13" t="s">
        <v>2225</v>
      </c>
      <c r="E25" s="13" t="s">
        <v>2226</v>
      </c>
      <c r="F25" s="13" t="s">
        <v>2227</v>
      </c>
      <c r="G25" s="13" t="s">
        <v>144</v>
      </c>
      <c r="H25" s="13" t="s">
        <v>97</v>
      </c>
      <c r="I25" s="13" t="s">
        <v>1669</v>
      </c>
      <c r="J25" s="13" t="s">
        <v>2231</v>
      </c>
      <c r="K25" s="13" t="s">
        <v>2229</v>
      </c>
      <c r="L25" s="14" t="s">
        <v>2232</v>
      </c>
      <c r="M25" s="14" t="s">
        <v>44</v>
      </c>
      <c r="N25" s="14" t="s">
        <v>2233</v>
      </c>
      <c r="O25" s="14" t="s">
        <v>2234</v>
      </c>
      <c r="P25" s="14" t="s">
        <v>41</v>
      </c>
      <c r="Q25" s="14"/>
      <c r="R25" s="14" t="s">
        <v>2134</v>
      </c>
    </row>
    <row r="26" customFormat="false" ht="35.05" hidden="false" customHeight="false" outlineLevel="0" collapsed="false">
      <c r="A26" s="12" t="s">
        <v>2224</v>
      </c>
      <c r="B26" s="12" t="s">
        <v>45</v>
      </c>
      <c r="C26" s="12" t="s">
        <v>1396</v>
      </c>
      <c r="D26" s="13" t="s">
        <v>2225</v>
      </c>
      <c r="E26" s="13" t="s">
        <v>2226</v>
      </c>
      <c r="F26" s="13" t="s">
        <v>2227</v>
      </c>
      <c r="G26" s="13" t="s">
        <v>144</v>
      </c>
      <c r="H26" s="13"/>
      <c r="I26" s="13" t="s">
        <v>387</v>
      </c>
      <c r="J26" s="13"/>
      <c r="K26" s="13" t="s">
        <v>2229</v>
      </c>
      <c r="L26" s="14" t="s">
        <v>2232</v>
      </c>
      <c r="M26" s="14" t="s">
        <v>43</v>
      </c>
      <c r="N26" s="14"/>
      <c r="O26" s="14"/>
      <c r="P26" s="14"/>
      <c r="Q26" s="14"/>
      <c r="R26" s="14"/>
    </row>
    <row r="27" customFormat="false" ht="35.05" hidden="false" customHeight="false" outlineLevel="0" collapsed="false">
      <c r="A27" s="12" t="s">
        <v>2235</v>
      </c>
      <c r="B27" s="12" t="s">
        <v>46</v>
      </c>
      <c r="C27" s="12" t="s">
        <v>142</v>
      </c>
      <c r="D27" s="13" t="s">
        <v>2236</v>
      </c>
      <c r="E27" s="13" t="s">
        <v>2237</v>
      </c>
      <c r="F27" s="13" t="s">
        <v>2238</v>
      </c>
      <c r="G27" s="13" t="s">
        <v>144</v>
      </c>
      <c r="H27" s="13" t="s">
        <v>97</v>
      </c>
      <c r="I27" s="13" t="s">
        <v>1669</v>
      </c>
      <c r="J27" s="13" t="s">
        <v>2239</v>
      </c>
      <c r="K27" s="13" t="s">
        <v>2240</v>
      </c>
      <c r="L27" s="14" t="s">
        <v>2241</v>
      </c>
      <c r="M27" s="14" t="s">
        <v>44</v>
      </c>
      <c r="N27" s="14" t="s">
        <v>2201</v>
      </c>
      <c r="O27" s="14" t="s">
        <v>2242</v>
      </c>
      <c r="P27" s="14" t="s">
        <v>41</v>
      </c>
      <c r="Q27" s="14"/>
      <c r="R27" s="14" t="s">
        <v>2134</v>
      </c>
    </row>
    <row r="28" customFormat="false" ht="35.05" hidden="false" customHeight="false" outlineLevel="0" collapsed="false">
      <c r="A28" s="12" t="s">
        <v>2235</v>
      </c>
      <c r="B28" s="12" t="s">
        <v>46</v>
      </c>
      <c r="C28" s="12" t="s">
        <v>1396</v>
      </c>
      <c r="D28" s="13" t="s">
        <v>2236</v>
      </c>
      <c r="E28" s="13" t="s">
        <v>2237</v>
      </c>
      <c r="F28" s="13" t="s">
        <v>2238</v>
      </c>
      <c r="G28" s="13" t="s">
        <v>144</v>
      </c>
      <c r="H28" s="13"/>
      <c r="I28" s="13" t="s">
        <v>387</v>
      </c>
      <c r="J28" s="13"/>
      <c r="K28" s="13" t="s">
        <v>2240</v>
      </c>
      <c r="L28" s="14" t="s">
        <v>2241</v>
      </c>
      <c r="M28" s="14" t="s">
        <v>43</v>
      </c>
      <c r="N28" s="14" t="s">
        <v>2243</v>
      </c>
      <c r="O28" s="14"/>
      <c r="P28" s="14"/>
      <c r="Q28" s="14"/>
      <c r="R28" s="14"/>
    </row>
    <row r="29" customFormat="false" ht="35.05" hidden="false" customHeight="false" outlineLevel="0" collapsed="false">
      <c r="A29" s="12" t="s">
        <v>2244</v>
      </c>
      <c r="B29" s="12" t="s">
        <v>46</v>
      </c>
      <c r="C29" s="12" t="s">
        <v>142</v>
      </c>
      <c r="D29" s="13" t="s">
        <v>2245</v>
      </c>
      <c r="E29" s="13" t="s">
        <v>2246</v>
      </c>
      <c r="F29" s="13" t="s">
        <v>2247</v>
      </c>
      <c r="G29" s="13" t="s">
        <v>144</v>
      </c>
      <c r="H29" s="13" t="s">
        <v>97</v>
      </c>
      <c r="I29" s="13" t="s">
        <v>1613</v>
      </c>
      <c r="J29" s="13" t="s">
        <v>2248</v>
      </c>
      <c r="K29" s="13" t="s">
        <v>2249</v>
      </c>
      <c r="L29" s="14" t="s">
        <v>2250</v>
      </c>
      <c r="M29" s="14" t="s">
        <v>43</v>
      </c>
      <c r="N29" s="14" t="s">
        <v>2251</v>
      </c>
      <c r="O29" s="14" t="s">
        <v>2252</v>
      </c>
      <c r="P29" s="14" t="s">
        <v>41</v>
      </c>
      <c r="Q29" s="14"/>
      <c r="R29" s="14" t="s">
        <v>2134</v>
      </c>
    </row>
    <row r="30" customFormat="false" ht="46.25" hidden="false" customHeight="false" outlineLevel="0" collapsed="false">
      <c r="A30" s="12" t="s">
        <v>2253</v>
      </c>
      <c r="B30" s="12" t="s">
        <v>46</v>
      </c>
      <c r="C30" s="12" t="s">
        <v>142</v>
      </c>
      <c r="D30" s="13" t="s">
        <v>2254</v>
      </c>
      <c r="E30" s="13" t="s">
        <v>2255</v>
      </c>
      <c r="F30" s="13" t="s">
        <v>2256</v>
      </c>
      <c r="G30" s="13" t="s">
        <v>144</v>
      </c>
      <c r="H30" s="13" t="s">
        <v>97</v>
      </c>
      <c r="I30" s="13" t="s">
        <v>1613</v>
      </c>
      <c r="J30" s="13" t="s">
        <v>2257</v>
      </c>
      <c r="K30" s="13" t="s">
        <v>2258</v>
      </c>
      <c r="L30" s="14" t="s">
        <v>2259</v>
      </c>
      <c r="M30" s="14" t="s">
        <v>41</v>
      </c>
      <c r="N30" s="14"/>
      <c r="O30" s="14" t="s">
        <v>2259</v>
      </c>
      <c r="P30" s="14" t="s">
        <v>41</v>
      </c>
      <c r="Q30" s="14"/>
      <c r="R30" s="14" t="s">
        <v>2134</v>
      </c>
    </row>
    <row r="31" customFormat="false" ht="35.05" hidden="false" customHeight="false" outlineLevel="0" collapsed="false">
      <c r="A31" s="12" t="s">
        <v>2260</v>
      </c>
      <c r="B31" s="12" t="s">
        <v>46</v>
      </c>
      <c r="C31" s="12" t="s">
        <v>142</v>
      </c>
      <c r="D31" s="13" t="s">
        <v>2261</v>
      </c>
      <c r="E31" s="13" t="s">
        <v>2262</v>
      </c>
      <c r="F31" s="13" t="s">
        <v>2263</v>
      </c>
      <c r="G31" s="13" t="s">
        <v>144</v>
      </c>
      <c r="H31" s="13" t="s">
        <v>97</v>
      </c>
      <c r="I31" s="13" t="s">
        <v>1613</v>
      </c>
      <c r="J31" s="13" t="s">
        <v>2264</v>
      </c>
      <c r="K31" s="13" t="s">
        <v>2265</v>
      </c>
      <c r="L31" s="14" t="s">
        <v>2266</v>
      </c>
      <c r="M31" s="14" t="s">
        <v>41</v>
      </c>
      <c r="N31" s="14"/>
      <c r="O31" s="14" t="s">
        <v>2266</v>
      </c>
      <c r="P31" s="14" t="s">
        <v>41</v>
      </c>
      <c r="Q31" s="14"/>
      <c r="R31" s="14" t="s">
        <v>2134</v>
      </c>
    </row>
    <row r="32" customFormat="false" ht="35.05" hidden="false" customHeight="false" outlineLevel="0" collapsed="false">
      <c r="A32" s="12" t="s">
        <v>2260</v>
      </c>
      <c r="B32" s="12" t="s">
        <v>46</v>
      </c>
      <c r="C32" s="12" t="s">
        <v>164</v>
      </c>
      <c r="D32" s="13" t="s">
        <v>2261</v>
      </c>
      <c r="E32" s="13" t="s">
        <v>2262</v>
      </c>
      <c r="F32" s="13" t="s">
        <v>2263</v>
      </c>
      <c r="G32" s="13" t="s">
        <v>144</v>
      </c>
      <c r="H32" s="13" t="s">
        <v>97</v>
      </c>
      <c r="I32" s="13" t="s">
        <v>1669</v>
      </c>
      <c r="J32" s="13" t="s">
        <v>2264</v>
      </c>
      <c r="K32" s="13" t="s">
        <v>2265</v>
      </c>
      <c r="L32" s="14" t="s">
        <v>2267</v>
      </c>
      <c r="M32" s="14" t="s">
        <v>44</v>
      </c>
      <c r="N32" s="14"/>
      <c r="O32" s="14" t="s">
        <v>2268</v>
      </c>
      <c r="P32" s="14" t="s">
        <v>41</v>
      </c>
      <c r="Q32" s="14"/>
      <c r="R32" s="14" t="s">
        <v>2134</v>
      </c>
    </row>
    <row r="33" customFormat="false" ht="57.45" hidden="false" customHeight="false" outlineLevel="0" collapsed="false">
      <c r="A33" s="12" t="s">
        <v>2269</v>
      </c>
      <c r="B33" s="12" t="s">
        <v>46</v>
      </c>
      <c r="C33" s="12" t="s">
        <v>142</v>
      </c>
      <c r="D33" s="13" t="s">
        <v>2270</v>
      </c>
      <c r="E33" s="13" t="s">
        <v>2271</v>
      </c>
      <c r="F33" s="13" t="s">
        <v>2272</v>
      </c>
      <c r="G33" s="13" t="s">
        <v>144</v>
      </c>
      <c r="H33" s="13" t="s">
        <v>97</v>
      </c>
      <c r="I33" s="13" t="s">
        <v>1613</v>
      </c>
      <c r="J33" s="13" t="s">
        <v>2273</v>
      </c>
      <c r="K33" s="13" t="s">
        <v>2274</v>
      </c>
      <c r="L33" s="14" t="s">
        <v>2275</v>
      </c>
      <c r="M33" s="14" t="s">
        <v>41</v>
      </c>
      <c r="N33" s="14"/>
      <c r="O33" s="14" t="s">
        <v>2276</v>
      </c>
      <c r="P33" s="14" t="s">
        <v>41</v>
      </c>
      <c r="Q33" s="14"/>
      <c r="R33" s="14" t="s">
        <v>2134</v>
      </c>
    </row>
    <row r="34" customFormat="false" ht="57.45" hidden="false" customHeight="false" outlineLevel="0" collapsed="false">
      <c r="A34" s="12" t="s">
        <v>2269</v>
      </c>
      <c r="B34" s="12" t="s">
        <v>46</v>
      </c>
      <c r="C34" s="12" t="s">
        <v>164</v>
      </c>
      <c r="D34" s="13" t="s">
        <v>2270</v>
      </c>
      <c r="E34" s="13" t="s">
        <v>2271</v>
      </c>
      <c r="F34" s="13" t="s">
        <v>2272</v>
      </c>
      <c r="G34" s="13" t="s">
        <v>144</v>
      </c>
      <c r="H34" s="13" t="s">
        <v>95</v>
      </c>
      <c r="I34" s="13" t="s">
        <v>1647</v>
      </c>
      <c r="J34" s="13" t="s">
        <v>2277</v>
      </c>
      <c r="K34" s="13" t="s">
        <v>2274</v>
      </c>
      <c r="L34" s="14" t="s">
        <v>2278</v>
      </c>
      <c r="M34" s="14" t="s">
        <v>41</v>
      </c>
      <c r="N34" s="14"/>
      <c r="O34" s="14" t="s">
        <v>2278</v>
      </c>
      <c r="P34" s="14" t="s">
        <v>41</v>
      </c>
      <c r="Q34" s="14"/>
      <c r="R34" s="14" t="s">
        <v>2134</v>
      </c>
    </row>
    <row r="35" customFormat="false" ht="57.45" hidden="false" customHeight="false" outlineLevel="0" collapsed="false">
      <c r="A35" s="12" t="s">
        <v>2279</v>
      </c>
      <c r="B35" s="12" t="s">
        <v>46</v>
      </c>
      <c r="C35" s="12" t="s">
        <v>142</v>
      </c>
      <c r="D35" s="13" t="s">
        <v>2280</v>
      </c>
      <c r="E35" s="13" t="s">
        <v>2281</v>
      </c>
      <c r="F35" s="13" t="s">
        <v>2282</v>
      </c>
      <c r="G35" s="13" t="s">
        <v>144</v>
      </c>
      <c r="H35" s="13" t="s">
        <v>97</v>
      </c>
      <c r="I35" s="13" t="s">
        <v>1613</v>
      </c>
      <c r="J35" s="13" t="s">
        <v>2283</v>
      </c>
      <c r="K35" s="13" t="s">
        <v>2284</v>
      </c>
      <c r="L35" s="14" t="s">
        <v>2285</v>
      </c>
      <c r="M35" s="14" t="s">
        <v>41</v>
      </c>
      <c r="N35" s="14"/>
      <c r="O35" s="14" t="s">
        <v>2286</v>
      </c>
      <c r="P35" s="14" t="s">
        <v>41</v>
      </c>
      <c r="Q35" s="14"/>
      <c r="R35" s="14" t="s">
        <v>2134</v>
      </c>
    </row>
    <row r="36" customFormat="false" ht="46.25" hidden="false" customHeight="false" outlineLevel="0" collapsed="false">
      <c r="A36" s="12" t="s">
        <v>2287</v>
      </c>
      <c r="B36" s="12" t="s">
        <v>46</v>
      </c>
      <c r="C36" s="12" t="s">
        <v>142</v>
      </c>
      <c r="D36" s="13" t="s">
        <v>2288</v>
      </c>
      <c r="E36" s="13" t="s">
        <v>2289</v>
      </c>
      <c r="F36" s="13" t="s">
        <v>2290</v>
      </c>
      <c r="G36" s="13" t="s">
        <v>144</v>
      </c>
      <c r="H36" s="13" t="s">
        <v>97</v>
      </c>
      <c r="I36" s="13" t="s">
        <v>1613</v>
      </c>
      <c r="J36" s="13" t="s">
        <v>2291</v>
      </c>
      <c r="K36" s="13" t="s">
        <v>2292</v>
      </c>
      <c r="L36" s="14" t="s">
        <v>2293</v>
      </c>
      <c r="M36" s="14" t="s">
        <v>41</v>
      </c>
      <c r="N36" s="14"/>
      <c r="O36" s="14" t="s">
        <v>2293</v>
      </c>
      <c r="P36" s="14" t="s">
        <v>41</v>
      </c>
      <c r="Q36" s="14"/>
      <c r="R36" s="14" t="s">
        <v>2134</v>
      </c>
    </row>
    <row r="37" customFormat="false" ht="23.85" hidden="false" customHeight="false" outlineLevel="0" collapsed="false">
      <c r="A37" s="12" t="s">
        <v>2294</v>
      </c>
      <c r="B37" s="12" t="s">
        <v>46</v>
      </c>
      <c r="C37" s="12" t="s">
        <v>142</v>
      </c>
      <c r="D37" s="13" t="s">
        <v>2295</v>
      </c>
      <c r="E37" s="13" t="s">
        <v>2296</v>
      </c>
      <c r="F37" s="13" t="s">
        <v>2297</v>
      </c>
      <c r="G37" s="13" t="s">
        <v>144</v>
      </c>
      <c r="H37" s="13" t="s">
        <v>97</v>
      </c>
      <c r="I37" s="13" t="s">
        <v>1613</v>
      </c>
      <c r="J37" s="13" t="s">
        <v>2298</v>
      </c>
      <c r="K37" s="13" t="s">
        <v>2299</v>
      </c>
      <c r="L37" s="14"/>
      <c r="M37" s="14" t="s">
        <v>44</v>
      </c>
      <c r="N37" s="14" t="s">
        <v>2165</v>
      </c>
      <c r="O37" s="14" t="s">
        <v>2300</v>
      </c>
      <c r="P37" s="14" t="s">
        <v>41</v>
      </c>
      <c r="Q37" s="14"/>
      <c r="R37" s="14" t="s">
        <v>2134</v>
      </c>
    </row>
    <row r="38" customFormat="false" ht="23.85" hidden="false" customHeight="false" outlineLevel="0" collapsed="false">
      <c r="A38" s="12" t="s">
        <v>2294</v>
      </c>
      <c r="B38" s="12" t="s">
        <v>46</v>
      </c>
      <c r="C38" s="12" t="s">
        <v>164</v>
      </c>
      <c r="D38" s="13" t="s">
        <v>2295</v>
      </c>
      <c r="E38" s="13" t="s">
        <v>2296</v>
      </c>
      <c r="F38" s="13" t="s">
        <v>2297</v>
      </c>
      <c r="G38" s="13" t="s">
        <v>144</v>
      </c>
      <c r="H38" s="13" t="s">
        <v>97</v>
      </c>
      <c r="I38" s="13" t="s">
        <v>1669</v>
      </c>
      <c r="J38" s="13" t="s">
        <v>2301</v>
      </c>
      <c r="K38" s="13" t="s">
        <v>2299</v>
      </c>
      <c r="L38" s="14"/>
      <c r="M38" s="14" t="s">
        <v>44</v>
      </c>
      <c r="N38" s="14" t="s">
        <v>2201</v>
      </c>
      <c r="O38" s="14" t="s">
        <v>2302</v>
      </c>
      <c r="P38" s="14" t="s">
        <v>43</v>
      </c>
      <c r="Q38" s="14"/>
      <c r="R38" s="14" t="s">
        <v>2134</v>
      </c>
    </row>
    <row r="39" customFormat="false" ht="23.85" hidden="false" customHeight="false" outlineLevel="0" collapsed="false">
      <c r="A39" s="12" t="s">
        <v>2294</v>
      </c>
      <c r="B39" s="12" t="s">
        <v>46</v>
      </c>
      <c r="C39" s="12" t="s">
        <v>1396</v>
      </c>
      <c r="D39" s="13" t="s">
        <v>2295</v>
      </c>
      <c r="E39" s="13" t="s">
        <v>2296</v>
      </c>
      <c r="F39" s="13" t="s">
        <v>2297</v>
      </c>
      <c r="G39" s="13" t="s">
        <v>144</v>
      </c>
      <c r="H39" s="13"/>
      <c r="I39" s="13" t="s">
        <v>387</v>
      </c>
      <c r="J39" s="13"/>
      <c r="K39" s="13" t="s">
        <v>2299</v>
      </c>
      <c r="L39" s="14"/>
      <c r="M39" s="14" t="s">
        <v>43</v>
      </c>
      <c r="N39" s="14" t="s">
        <v>2303</v>
      </c>
      <c r="O39" s="14"/>
      <c r="P39" s="14"/>
      <c r="Q39" s="14"/>
      <c r="R39" s="14"/>
    </row>
    <row r="40" customFormat="false" ht="35.05" hidden="false" customHeight="false" outlineLevel="0" collapsed="false">
      <c r="A40" s="12" t="s">
        <v>2304</v>
      </c>
      <c r="B40" s="12" t="s">
        <v>46</v>
      </c>
      <c r="C40" s="12" t="s">
        <v>142</v>
      </c>
      <c r="D40" s="13" t="s">
        <v>2305</v>
      </c>
      <c r="E40" s="13" t="s">
        <v>2306</v>
      </c>
      <c r="F40" s="13" t="s">
        <v>2307</v>
      </c>
      <c r="G40" s="13" t="s">
        <v>144</v>
      </c>
      <c r="H40" s="13" t="s">
        <v>97</v>
      </c>
      <c r="I40" s="13" t="s">
        <v>1669</v>
      </c>
      <c r="J40" s="13" t="s">
        <v>2308</v>
      </c>
      <c r="K40" s="13" t="s">
        <v>2309</v>
      </c>
      <c r="L40" s="14" t="s">
        <v>2310</v>
      </c>
      <c r="M40" s="14" t="s">
        <v>41</v>
      </c>
      <c r="N40" s="14"/>
      <c r="O40" s="14" t="s">
        <v>2311</v>
      </c>
      <c r="P40" s="14" t="s">
        <v>41</v>
      </c>
      <c r="Q40" s="14"/>
      <c r="R40" s="14" t="s">
        <v>2134</v>
      </c>
    </row>
    <row r="41" customFormat="false" ht="46.25" hidden="false" customHeight="false" outlineLevel="0" collapsed="false">
      <c r="A41" s="12" t="s">
        <v>2312</v>
      </c>
      <c r="B41" s="12" t="s">
        <v>46</v>
      </c>
      <c r="C41" s="12" t="s">
        <v>142</v>
      </c>
      <c r="D41" s="13" t="s">
        <v>2313</v>
      </c>
      <c r="E41" s="13" t="s">
        <v>2314</v>
      </c>
      <c r="F41" s="13" t="s">
        <v>2315</v>
      </c>
      <c r="G41" s="13" t="s">
        <v>206</v>
      </c>
      <c r="H41" s="13" t="s">
        <v>97</v>
      </c>
      <c r="I41" s="13" t="s">
        <v>1613</v>
      </c>
      <c r="J41" s="13" t="s">
        <v>2316</v>
      </c>
      <c r="K41" s="13" t="s">
        <v>2317</v>
      </c>
      <c r="L41" s="14" t="s">
        <v>2318</v>
      </c>
      <c r="M41" s="14" t="s">
        <v>41</v>
      </c>
      <c r="N41" s="14"/>
      <c r="O41" s="14" t="s">
        <v>2319</v>
      </c>
      <c r="P41" s="14" t="s">
        <v>43</v>
      </c>
      <c r="Q41" s="14" t="s">
        <v>334</v>
      </c>
      <c r="R41" s="14" t="s">
        <v>2134</v>
      </c>
    </row>
    <row r="42" customFormat="false" ht="46.25" hidden="false" customHeight="false" outlineLevel="0" collapsed="false">
      <c r="A42" s="12" t="s">
        <v>2312</v>
      </c>
      <c r="B42" s="12" t="s">
        <v>46</v>
      </c>
      <c r="C42" s="12" t="s">
        <v>164</v>
      </c>
      <c r="D42" s="13" t="s">
        <v>2313</v>
      </c>
      <c r="E42" s="13" t="s">
        <v>2314</v>
      </c>
      <c r="F42" s="13" t="s">
        <v>2315</v>
      </c>
      <c r="G42" s="13" t="s">
        <v>206</v>
      </c>
      <c r="H42" s="13" t="s">
        <v>97</v>
      </c>
      <c r="I42" s="13" t="s">
        <v>1669</v>
      </c>
      <c r="J42" s="13" t="s">
        <v>2320</v>
      </c>
      <c r="K42" s="13" t="s">
        <v>2317</v>
      </c>
      <c r="L42" s="14" t="s">
        <v>2318</v>
      </c>
      <c r="M42" s="14" t="s">
        <v>41</v>
      </c>
      <c r="N42" s="14"/>
      <c r="O42" s="14" t="s">
        <v>2321</v>
      </c>
      <c r="P42" s="14" t="s">
        <v>43</v>
      </c>
      <c r="Q42" s="14" t="s">
        <v>2322</v>
      </c>
      <c r="R42" s="14" t="s">
        <v>2134</v>
      </c>
    </row>
    <row r="43" customFormat="false" ht="46.25" hidden="false" customHeight="false" outlineLevel="0" collapsed="false">
      <c r="A43" s="12" t="s">
        <v>2312</v>
      </c>
      <c r="B43" s="12" t="s">
        <v>46</v>
      </c>
      <c r="C43" s="12" t="s">
        <v>386</v>
      </c>
      <c r="D43" s="13" t="s">
        <v>2313</v>
      </c>
      <c r="E43" s="13" t="s">
        <v>2314</v>
      </c>
      <c r="F43" s="13" t="s">
        <v>2315</v>
      </c>
      <c r="G43" s="13" t="s">
        <v>206</v>
      </c>
      <c r="H43" s="13" t="s">
        <v>95</v>
      </c>
      <c r="I43" s="13" t="s">
        <v>1647</v>
      </c>
      <c r="J43" s="13" t="s">
        <v>2323</v>
      </c>
      <c r="K43" s="13" t="s">
        <v>2317</v>
      </c>
      <c r="L43" s="14" t="s">
        <v>2318</v>
      </c>
      <c r="M43" s="14" t="s">
        <v>41</v>
      </c>
      <c r="N43" s="14"/>
      <c r="O43" s="14" t="s">
        <v>1814</v>
      </c>
      <c r="P43" s="14" t="s">
        <v>44</v>
      </c>
      <c r="Q43" s="14" t="s">
        <v>242</v>
      </c>
      <c r="R43" s="14" t="s">
        <v>2134</v>
      </c>
    </row>
    <row r="44" customFormat="false" ht="46.25" hidden="false" customHeight="false" outlineLevel="0" collapsed="false">
      <c r="A44" s="12" t="s">
        <v>2324</v>
      </c>
      <c r="B44" s="12" t="s">
        <v>47</v>
      </c>
      <c r="C44" s="12" t="s">
        <v>142</v>
      </c>
      <c r="D44" s="13" t="s">
        <v>2325</v>
      </c>
      <c r="E44" s="13" t="s">
        <v>2326</v>
      </c>
      <c r="F44" s="13" t="s">
        <v>2327</v>
      </c>
      <c r="G44" s="13" t="s">
        <v>206</v>
      </c>
      <c r="H44" s="13"/>
      <c r="I44" s="13" t="s">
        <v>387</v>
      </c>
      <c r="J44" s="13" t="s">
        <v>2328</v>
      </c>
      <c r="K44" s="13" t="s">
        <v>2329</v>
      </c>
      <c r="L44" s="14" t="s">
        <v>2330</v>
      </c>
      <c r="M44" s="14" t="s">
        <v>43</v>
      </c>
      <c r="N44" s="14" t="s">
        <v>2331</v>
      </c>
      <c r="O44" s="14" t="s">
        <v>1471</v>
      </c>
      <c r="P44" s="14" t="s">
        <v>42</v>
      </c>
      <c r="Q44" s="14" t="s">
        <v>2332</v>
      </c>
      <c r="R44" s="14" t="s">
        <v>2134</v>
      </c>
    </row>
    <row r="45" customFormat="false" ht="35.05" hidden="false" customHeight="false" outlineLevel="0" collapsed="false">
      <c r="A45" s="12" t="s">
        <v>2333</v>
      </c>
      <c r="B45" s="12" t="s">
        <v>47</v>
      </c>
      <c r="C45" s="12" t="s">
        <v>142</v>
      </c>
      <c r="D45" s="13" t="s">
        <v>2334</v>
      </c>
      <c r="E45" s="13" t="s">
        <v>2335</v>
      </c>
      <c r="F45" s="13" t="s">
        <v>2336</v>
      </c>
      <c r="G45" s="13" t="s">
        <v>144</v>
      </c>
      <c r="H45" s="13" t="s">
        <v>97</v>
      </c>
      <c r="I45" s="13" t="s">
        <v>1613</v>
      </c>
      <c r="J45" s="13" t="s">
        <v>2337</v>
      </c>
      <c r="K45" s="13" t="s">
        <v>2338</v>
      </c>
      <c r="L45" s="14" t="s">
        <v>1768</v>
      </c>
      <c r="M45" s="14" t="s">
        <v>44</v>
      </c>
      <c r="N45" s="14" t="s">
        <v>2165</v>
      </c>
      <c r="O45" s="14" t="s">
        <v>2339</v>
      </c>
      <c r="P45" s="14" t="s">
        <v>41</v>
      </c>
      <c r="Q45" s="14"/>
      <c r="R45" s="14" t="s">
        <v>2134</v>
      </c>
    </row>
    <row r="46" customFormat="false" ht="46.25" hidden="false" customHeight="false" outlineLevel="0" collapsed="false">
      <c r="A46" s="12" t="s">
        <v>2340</v>
      </c>
      <c r="B46" s="12" t="s">
        <v>47</v>
      </c>
      <c r="C46" s="12" t="s">
        <v>142</v>
      </c>
      <c r="D46" s="13" t="s">
        <v>2341</v>
      </c>
      <c r="E46" s="13" t="s">
        <v>2342</v>
      </c>
      <c r="F46" s="13" t="s">
        <v>2343</v>
      </c>
      <c r="G46" s="13" t="s">
        <v>144</v>
      </c>
      <c r="H46" s="13" t="s">
        <v>97</v>
      </c>
      <c r="I46" s="13" t="s">
        <v>1613</v>
      </c>
      <c r="J46" s="13" t="s">
        <v>2344</v>
      </c>
      <c r="K46" s="13" t="s">
        <v>2345</v>
      </c>
      <c r="L46" s="14" t="s">
        <v>2346</v>
      </c>
      <c r="M46" s="14" t="s">
        <v>44</v>
      </c>
      <c r="N46" s="14" t="s">
        <v>2165</v>
      </c>
      <c r="O46" s="14" t="s">
        <v>2347</v>
      </c>
      <c r="P46" s="14" t="s">
        <v>41</v>
      </c>
      <c r="Q46" s="14"/>
      <c r="R46" s="14" t="s">
        <v>2134</v>
      </c>
    </row>
    <row r="47" customFormat="false" ht="23.85" hidden="false" customHeight="false" outlineLevel="0" collapsed="false">
      <c r="A47" s="12" t="s">
        <v>2348</v>
      </c>
      <c r="B47" s="12" t="s">
        <v>47</v>
      </c>
      <c r="C47" s="12" t="s">
        <v>142</v>
      </c>
      <c r="D47" s="13" t="s">
        <v>2349</v>
      </c>
      <c r="E47" s="13" t="s">
        <v>2350</v>
      </c>
      <c r="F47" s="13" t="s">
        <v>2351</v>
      </c>
      <c r="G47" s="13" t="s">
        <v>144</v>
      </c>
      <c r="H47" s="13" t="s">
        <v>97</v>
      </c>
      <c r="I47" s="13" t="s">
        <v>1669</v>
      </c>
      <c r="J47" s="13" t="s">
        <v>2352</v>
      </c>
      <c r="K47" s="13" t="s">
        <v>2353</v>
      </c>
      <c r="L47" s="14" t="s">
        <v>2354</v>
      </c>
      <c r="M47" s="14" t="s">
        <v>41</v>
      </c>
      <c r="N47" s="14"/>
      <c r="O47" s="14" t="s">
        <v>2355</v>
      </c>
      <c r="P47" s="14" t="s">
        <v>41</v>
      </c>
      <c r="Q47" s="14"/>
      <c r="R47" s="14" t="s">
        <v>2134</v>
      </c>
    </row>
    <row r="48" customFormat="false" ht="23.85" hidden="false" customHeight="false" outlineLevel="0" collapsed="false">
      <c r="A48" s="12" t="s">
        <v>2356</v>
      </c>
      <c r="B48" s="12" t="s">
        <v>47</v>
      </c>
      <c r="C48" s="12" t="s">
        <v>142</v>
      </c>
      <c r="D48" s="13" t="s">
        <v>2357</v>
      </c>
      <c r="E48" s="13" t="s">
        <v>2358</v>
      </c>
      <c r="F48" s="13" t="s">
        <v>2359</v>
      </c>
      <c r="G48" s="13" t="s">
        <v>178</v>
      </c>
      <c r="H48" s="13" t="s">
        <v>591</v>
      </c>
      <c r="I48" s="13" t="s">
        <v>1460</v>
      </c>
      <c r="J48" s="13"/>
      <c r="K48" s="13" t="s">
        <v>1911</v>
      </c>
      <c r="L48" s="14" t="s">
        <v>1471</v>
      </c>
      <c r="M48" s="14" t="s">
        <v>41</v>
      </c>
      <c r="N48" s="14"/>
      <c r="O48" s="14" t="s">
        <v>1471</v>
      </c>
      <c r="P48" s="14" t="s">
        <v>41</v>
      </c>
      <c r="Q48" s="14"/>
      <c r="R48" s="14" t="s">
        <v>2134</v>
      </c>
    </row>
    <row r="49" customFormat="false" ht="23.85" hidden="false" customHeight="false" outlineLevel="0" collapsed="false">
      <c r="A49" s="12" t="s">
        <v>2360</v>
      </c>
      <c r="B49" s="12" t="s">
        <v>47</v>
      </c>
      <c r="C49" s="12" t="s">
        <v>142</v>
      </c>
      <c r="D49" s="13" t="s">
        <v>2361</v>
      </c>
      <c r="E49" s="13" t="s">
        <v>2362</v>
      </c>
      <c r="F49" s="13" t="s">
        <v>2363</v>
      </c>
      <c r="G49" s="13" t="s">
        <v>178</v>
      </c>
      <c r="H49" s="13" t="s">
        <v>591</v>
      </c>
      <c r="I49" s="13" t="s">
        <v>1460</v>
      </c>
      <c r="J49" s="13"/>
      <c r="K49" s="13" t="s">
        <v>1461</v>
      </c>
      <c r="L49" s="14" t="s">
        <v>2364</v>
      </c>
      <c r="M49" s="14" t="s">
        <v>41</v>
      </c>
      <c r="N49" s="14"/>
      <c r="O49" s="14" t="s">
        <v>2364</v>
      </c>
      <c r="P49" s="14" t="s">
        <v>41</v>
      </c>
      <c r="Q49" s="14"/>
      <c r="R49" s="14" t="s">
        <v>2134</v>
      </c>
    </row>
    <row r="50" customFormat="false" ht="46.25" hidden="false" customHeight="false" outlineLevel="0" collapsed="false">
      <c r="A50" s="12" t="s">
        <v>2365</v>
      </c>
      <c r="B50" s="12" t="s">
        <v>47</v>
      </c>
      <c r="C50" s="12" t="s">
        <v>142</v>
      </c>
      <c r="D50" s="13" t="s">
        <v>2366</v>
      </c>
      <c r="E50" s="13" t="s">
        <v>2367</v>
      </c>
      <c r="F50" s="13" t="s">
        <v>2368</v>
      </c>
      <c r="G50" s="13" t="s">
        <v>144</v>
      </c>
      <c r="H50" s="13" t="s">
        <v>97</v>
      </c>
      <c r="I50" s="13" t="s">
        <v>1932</v>
      </c>
      <c r="J50" s="13" t="s">
        <v>2369</v>
      </c>
      <c r="K50" s="13" t="s">
        <v>2370</v>
      </c>
      <c r="L50" s="14" t="s">
        <v>2064</v>
      </c>
      <c r="M50" s="14" t="s">
        <v>44</v>
      </c>
      <c r="N50" s="14" t="s">
        <v>2371</v>
      </c>
      <c r="O50" s="14" t="s">
        <v>2372</v>
      </c>
      <c r="P50" s="14" t="s">
        <v>41</v>
      </c>
      <c r="Q50" s="14"/>
      <c r="R50" s="14" t="s">
        <v>2134</v>
      </c>
    </row>
    <row r="51" customFormat="false" ht="35.05" hidden="false" customHeight="false" outlineLevel="0" collapsed="false">
      <c r="A51" s="12" t="s">
        <v>2373</v>
      </c>
      <c r="B51" s="12" t="s">
        <v>47</v>
      </c>
      <c r="C51" s="12" t="s">
        <v>142</v>
      </c>
      <c r="D51" s="13" t="s">
        <v>2374</v>
      </c>
      <c r="E51" s="13" t="s">
        <v>2375</v>
      </c>
      <c r="F51" s="13" t="s">
        <v>2376</v>
      </c>
      <c r="G51" s="13" t="s">
        <v>144</v>
      </c>
      <c r="H51" s="13" t="s">
        <v>97</v>
      </c>
      <c r="I51" s="13" t="s">
        <v>1669</v>
      </c>
      <c r="J51" s="13" t="s">
        <v>2377</v>
      </c>
      <c r="K51" s="13" t="s">
        <v>2378</v>
      </c>
      <c r="L51" s="14" t="s">
        <v>2379</v>
      </c>
      <c r="M51" s="14" t="s">
        <v>44</v>
      </c>
      <c r="N51" s="14" t="s">
        <v>2201</v>
      </c>
      <c r="O51" s="14" t="s">
        <v>2380</v>
      </c>
      <c r="P51" s="14" t="s">
        <v>41</v>
      </c>
      <c r="Q51" s="14"/>
      <c r="R51" s="14" t="s">
        <v>2134</v>
      </c>
    </row>
    <row r="52" customFormat="false" ht="23.85" hidden="false" customHeight="false" outlineLevel="0" collapsed="false">
      <c r="A52" s="12" t="s">
        <v>2381</v>
      </c>
      <c r="B52" s="12" t="s">
        <v>47</v>
      </c>
      <c r="C52" s="12" t="s">
        <v>142</v>
      </c>
      <c r="D52" s="13" t="s">
        <v>2382</v>
      </c>
      <c r="E52" s="13" t="s">
        <v>2383</v>
      </c>
      <c r="F52" s="13" t="s">
        <v>2384</v>
      </c>
      <c r="G52" s="13" t="s">
        <v>144</v>
      </c>
      <c r="H52" s="13" t="s">
        <v>97</v>
      </c>
      <c r="I52" s="13" t="s">
        <v>1669</v>
      </c>
      <c r="J52" s="13" t="s">
        <v>2385</v>
      </c>
      <c r="K52" s="13" t="s">
        <v>2386</v>
      </c>
      <c r="L52" s="14"/>
      <c r="M52" s="14" t="s">
        <v>44</v>
      </c>
      <c r="N52" s="14" t="s">
        <v>2201</v>
      </c>
      <c r="O52" s="14" t="s">
        <v>2387</v>
      </c>
      <c r="P52" s="14" t="s">
        <v>41</v>
      </c>
      <c r="Q52" s="14"/>
      <c r="R52" s="14" t="s">
        <v>2134</v>
      </c>
    </row>
    <row r="53" customFormat="false" ht="23.85" hidden="false" customHeight="false" outlineLevel="0" collapsed="false">
      <c r="A53" s="12" t="s">
        <v>2381</v>
      </c>
      <c r="B53" s="12" t="s">
        <v>47</v>
      </c>
      <c r="C53" s="12" t="s">
        <v>1396</v>
      </c>
      <c r="D53" s="13" t="s">
        <v>2382</v>
      </c>
      <c r="E53" s="13" t="s">
        <v>2383</v>
      </c>
      <c r="F53" s="13" t="s">
        <v>2384</v>
      </c>
      <c r="G53" s="13" t="s">
        <v>144</v>
      </c>
      <c r="H53" s="13"/>
      <c r="I53" s="13" t="s">
        <v>387</v>
      </c>
      <c r="J53" s="13"/>
      <c r="K53" s="13" t="s">
        <v>2386</v>
      </c>
      <c r="L53" s="14"/>
      <c r="M53" s="14" t="s">
        <v>43</v>
      </c>
      <c r="N53" s="14" t="s">
        <v>2388</v>
      </c>
      <c r="O53" s="14"/>
      <c r="P53" s="14"/>
      <c r="Q53" s="14"/>
      <c r="R53" s="14"/>
    </row>
    <row r="54" customFormat="false" ht="46.25" hidden="false" customHeight="false" outlineLevel="0" collapsed="false">
      <c r="A54" s="12" t="s">
        <v>2389</v>
      </c>
      <c r="B54" s="12" t="s">
        <v>47</v>
      </c>
      <c r="C54" s="12" t="s">
        <v>142</v>
      </c>
      <c r="D54" s="13" t="s">
        <v>2390</v>
      </c>
      <c r="E54" s="13" t="s">
        <v>2391</v>
      </c>
      <c r="F54" s="13" t="s">
        <v>2392</v>
      </c>
      <c r="G54" s="13" t="s">
        <v>144</v>
      </c>
      <c r="H54" s="13" t="s">
        <v>97</v>
      </c>
      <c r="I54" s="13" t="s">
        <v>1613</v>
      </c>
      <c r="J54" s="13" t="s">
        <v>2393</v>
      </c>
      <c r="K54" s="13" t="s">
        <v>2394</v>
      </c>
      <c r="L54" s="14" t="s">
        <v>2395</v>
      </c>
      <c r="M54" s="14" t="s">
        <v>41</v>
      </c>
      <c r="N54" s="14"/>
      <c r="O54" s="14" t="s">
        <v>2395</v>
      </c>
      <c r="P54" s="14" t="s">
        <v>41</v>
      </c>
      <c r="Q54" s="14"/>
      <c r="R54" s="14" t="s">
        <v>2134</v>
      </c>
    </row>
    <row r="55" customFormat="false" ht="46.25" hidden="false" customHeight="false" outlineLevel="0" collapsed="false">
      <c r="A55" s="12" t="s">
        <v>2396</v>
      </c>
      <c r="B55" s="12" t="s">
        <v>48</v>
      </c>
      <c r="C55" s="12" t="s">
        <v>142</v>
      </c>
      <c r="D55" s="13" t="s">
        <v>2397</v>
      </c>
      <c r="E55" s="13" t="s">
        <v>2398</v>
      </c>
      <c r="F55" s="13" t="s">
        <v>2399</v>
      </c>
      <c r="G55" s="13" t="s">
        <v>144</v>
      </c>
      <c r="H55" s="13" t="s">
        <v>97</v>
      </c>
      <c r="I55" s="13" t="s">
        <v>1613</v>
      </c>
      <c r="J55" s="13" t="s">
        <v>2400</v>
      </c>
      <c r="K55" s="13" t="s">
        <v>2401</v>
      </c>
      <c r="L55" s="14" t="s">
        <v>2402</v>
      </c>
      <c r="M55" s="14" t="s">
        <v>41</v>
      </c>
      <c r="N55" s="14"/>
      <c r="O55" s="14" t="s">
        <v>2402</v>
      </c>
      <c r="P55" s="14" t="s">
        <v>41</v>
      </c>
      <c r="Q55" s="14"/>
      <c r="R55" s="14" t="s">
        <v>2134</v>
      </c>
    </row>
    <row r="56" customFormat="false" ht="46.25" hidden="false" customHeight="false" outlineLevel="0" collapsed="false">
      <c r="A56" s="12" t="s">
        <v>2403</v>
      </c>
      <c r="B56" s="12" t="s">
        <v>48</v>
      </c>
      <c r="C56" s="12" t="s">
        <v>142</v>
      </c>
      <c r="D56" s="13" t="s">
        <v>2404</v>
      </c>
      <c r="E56" s="13" t="s">
        <v>2405</v>
      </c>
      <c r="F56" s="13" t="s">
        <v>2406</v>
      </c>
      <c r="G56" s="13" t="s">
        <v>144</v>
      </c>
      <c r="H56" s="13" t="s">
        <v>97</v>
      </c>
      <c r="I56" s="13" t="s">
        <v>1613</v>
      </c>
      <c r="J56" s="13" t="s">
        <v>2407</v>
      </c>
      <c r="K56" s="13" t="s">
        <v>2408</v>
      </c>
      <c r="L56" s="14" t="s">
        <v>2409</v>
      </c>
      <c r="M56" s="14" t="s">
        <v>42</v>
      </c>
      <c r="N56" s="14" t="s">
        <v>2410</v>
      </c>
      <c r="O56" s="14" t="s">
        <v>2411</v>
      </c>
      <c r="P56" s="14" t="s">
        <v>41</v>
      </c>
      <c r="Q56" s="14"/>
      <c r="R56" s="14" t="s">
        <v>2134</v>
      </c>
    </row>
    <row r="57" customFormat="false" ht="46.25" hidden="false" customHeight="false" outlineLevel="0" collapsed="false">
      <c r="A57" s="12" t="s">
        <v>2403</v>
      </c>
      <c r="B57" s="12" t="s">
        <v>48</v>
      </c>
      <c r="C57" s="12" t="s">
        <v>164</v>
      </c>
      <c r="D57" s="13" t="s">
        <v>2404</v>
      </c>
      <c r="E57" s="13" t="s">
        <v>2405</v>
      </c>
      <c r="F57" s="13" t="s">
        <v>2406</v>
      </c>
      <c r="G57" s="13" t="s">
        <v>144</v>
      </c>
      <c r="H57" s="13" t="s">
        <v>97</v>
      </c>
      <c r="I57" s="13" t="s">
        <v>1669</v>
      </c>
      <c r="J57" s="13" t="s">
        <v>2412</v>
      </c>
      <c r="K57" s="13" t="s">
        <v>2408</v>
      </c>
      <c r="L57" s="14" t="s">
        <v>2409</v>
      </c>
      <c r="M57" s="14" t="s">
        <v>42</v>
      </c>
      <c r="N57" s="14" t="s">
        <v>2413</v>
      </c>
      <c r="O57" s="14" t="s">
        <v>2414</v>
      </c>
      <c r="P57" s="14" t="s">
        <v>41</v>
      </c>
      <c r="Q57" s="14"/>
      <c r="R57" s="14" t="s">
        <v>2134</v>
      </c>
    </row>
    <row r="58" customFormat="false" ht="46.25" hidden="false" customHeight="false" outlineLevel="0" collapsed="false">
      <c r="A58" s="12" t="s">
        <v>2415</v>
      </c>
      <c r="B58" s="12" t="s">
        <v>48</v>
      </c>
      <c r="C58" s="12" t="s">
        <v>142</v>
      </c>
      <c r="D58" s="13" t="s">
        <v>2416</v>
      </c>
      <c r="E58" s="13" t="s">
        <v>2417</v>
      </c>
      <c r="F58" s="13" t="s">
        <v>2418</v>
      </c>
      <c r="G58" s="13" t="s">
        <v>144</v>
      </c>
      <c r="H58" s="13" t="s">
        <v>97</v>
      </c>
      <c r="I58" s="13" t="s">
        <v>1613</v>
      </c>
      <c r="J58" s="13" t="s">
        <v>2419</v>
      </c>
      <c r="K58" s="13" t="s">
        <v>2420</v>
      </c>
      <c r="L58" s="14" t="s">
        <v>2421</v>
      </c>
      <c r="M58" s="14" t="s">
        <v>44</v>
      </c>
      <c r="N58" s="14" t="s">
        <v>851</v>
      </c>
      <c r="O58" s="14" t="s">
        <v>2422</v>
      </c>
      <c r="P58" s="14" t="s">
        <v>41</v>
      </c>
      <c r="Q58" s="14"/>
      <c r="R58" s="14" t="s">
        <v>2134</v>
      </c>
    </row>
    <row r="59" customFormat="false" ht="46.25" hidden="false" customHeight="false" outlineLevel="0" collapsed="false">
      <c r="A59" s="12" t="s">
        <v>2423</v>
      </c>
      <c r="B59" s="12" t="s">
        <v>48</v>
      </c>
      <c r="C59" s="12" t="s">
        <v>142</v>
      </c>
      <c r="D59" s="13" t="s">
        <v>2424</v>
      </c>
      <c r="E59" s="13" t="s">
        <v>2425</v>
      </c>
      <c r="F59" s="13" t="s">
        <v>2426</v>
      </c>
      <c r="G59" s="13" t="s">
        <v>144</v>
      </c>
      <c r="H59" s="13" t="s">
        <v>97</v>
      </c>
      <c r="I59" s="13" t="s">
        <v>1613</v>
      </c>
      <c r="J59" s="13" t="s">
        <v>2427</v>
      </c>
      <c r="K59" s="13" t="s">
        <v>2428</v>
      </c>
      <c r="L59" s="14" t="s">
        <v>2429</v>
      </c>
      <c r="M59" s="14" t="s">
        <v>44</v>
      </c>
      <c r="N59" s="14" t="s">
        <v>851</v>
      </c>
      <c r="O59" s="14" t="s">
        <v>2430</v>
      </c>
      <c r="P59" s="14" t="s">
        <v>41</v>
      </c>
      <c r="Q59" s="14"/>
      <c r="R59" s="14" t="s">
        <v>2134</v>
      </c>
    </row>
    <row r="60" customFormat="false" ht="35.05" hidden="false" customHeight="false" outlineLevel="0" collapsed="false">
      <c r="A60" s="12" t="s">
        <v>2423</v>
      </c>
      <c r="B60" s="12" t="s">
        <v>48</v>
      </c>
      <c r="C60" s="12" t="s">
        <v>164</v>
      </c>
      <c r="D60" s="13" t="s">
        <v>2424</v>
      </c>
      <c r="E60" s="13" t="s">
        <v>2425</v>
      </c>
      <c r="F60" s="13" t="s">
        <v>2426</v>
      </c>
      <c r="G60" s="13" t="s">
        <v>144</v>
      </c>
      <c r="H60" s="13" t="s">
        <v>97</v>
      </c>
      <c r="I60" s="13" t="s">
        <v>1669</v>
      </c>
      <c r="J60" s="13" t="s">
        <v>2431</v>
      </c>
      <c r="K60" s="13" t="s">
        <v>2428</v>
      </c>
      <c r="L60" s="14" t="s">
        <v>2429</v>
      </c>
      <c r="M60" s="14" t="s">
        <v>44</v>
      </c>
      <c r="N60" s="14" t="s">
        <v>2432</v>
      </c>
      <c r="O60" s="14" t="s">
        <v>2433</v>
      </c>
      <c r="P60" s="14" t="s">
        <v>41</v>
      </c>
      <c r="Q60" s="14"/>
      <c r="R60" s="14" t="s">
        <v>2134</v>
      </c>
    </row>
    <row r="61" customFormat="false" ht="46.25" hidden="false" customHeight="false" outlineLevel="0" collapsed="false">
      <c r="A61" s="12" t="s">
        <v>2434</v>
      </c>
      <c r="B61" s="12" t="s">
        <v>48</v>
      </c>
      <c r="C61" s="12" t="s">
        <v>142</v>
      </c>
      <c r="D61" s="13" t="s">
        <v>2435</v>
      </c>
      <c r="E61" s="13" t="s">
        <v>2436</v>
      </c>
      <c r="F61" s="13" t="s">
        <v>2437</v>
      </c>
      <c r="G61" s="13" t="s">
        <v>144</v>
      </c>
      <c r="H61" s="13" t="s">
        <v>97</v>
      </c>
      <c r="I61" s="13" t="s">
        <v>1613</v>
      </c>
      <c r="J61" s="13" t="s">
        <v>2438</v>
      </c>
      <c r="K61" s="13" t="s">
        <v>2439</v>
      </c>
      <c r="L61" s="14" t="s">
        <v>2440</v>
      </c>
      <c r="M61" s="14" t="s">
        <v>44</v>
      </c>
      <c r="N61" s="14" t="s">
        <v>851</v>
      </c>
      <c r="O61" s="14" t="s">
        <v>2441</v>
      </c>
      <c r="P61" s="14" t="s">
        <v>41</v>
      </c>
      <c r="Q61" s="14"/>
      <c r="R61" s="14" t="s">
        <v>2134</v>
      </c>
    </row>
    <row r="62" customFormat="false" ht="35.05" hidden="false" customHeight="false" outlineLevel="0" collapsed="false">
      <c r="A62" s="12" t="s">
        <v>2442</v>
      </c>
      <c r="B62" s="12" t="s">
        <v>48</v>
      </c>
      <c r="C62" s="12" t="s">
        <v>142</v>
      </c>
      <c r="D62" s="13" t="s">
        <v>2443</v>
      </c>
      <c r="E62" s="13" t="s">
        <v>2444</v>
      </c>
      <c r="F62" s="13" t="s">
        <v>2445</v>
      </c>
      <c r="G62" s="13" t="s">
        <v>144</v>
      </c>
      <c r="H62" s="13" t="s">
        <v>97</v>
      </c>
      <c r="I62" s="13" t="s">
        <v>1613</v>
      </c>
      <c r="J62" s="13" t="s">
        <v>2446</v>
      </c>
      <c r="K62" s="13" t="s">
        <v>2447</v>
      </c>
      <c r="L62" s="14" t="s">
        <v>2448</v>
      </c>
      <c r="M62" s="14" t="s">
        <v>43</v>
      </c>
      <c r="N62" s="14" t="s">
        <v>2449</v>
      </c>
      <c r="O62" s="14" t="s">
        <v>2450</v>
      </c>
      <c r="P62" s="14" t="s">
        <v>43</v>
      </c>
      <c r="Q62" s="14" t="s">
        <v>2449</v>
      </c>
      <c r="R62" s="14" t="s">
        <v>2134</v>
      </c>
    </row>
    <row r="63" customFormat="false" ht="46.25" hidden="false" customHeight="false" outlineLevel="0" collapsed="false">
      <c r="A63" s="12" t="s">
        <v>2451</v>
      </c>
      <c r="B63" s="12" t="s">
        <v>48</v>
      </c>
      <c r="C63" s="12" t="s">
        <v>142</v>
      </c>
      <c r="D63" s="13" t="s">
        <v>2452</v>
      </c>
      <c r="E63" s="13" t="s">
        <v>2453</v>
      </c>
      <c r="F63" s="13" t="s">
        <v>2454</v>
      </c>
      <c r="G63" s="13" t="s">
        <v>144</v>
      </c>
      <c r="H63" s="13" t="s">
        <v>97</v>
      </c>
      <c r="I63" s="13" t="s">
        <v>1613</v>
      </c>
      <c r="J63" s="13" t="s">
        <v>2455</v>
      </c>
      <c r="K63" s="13" t="s">
        <v>2456</v>
      </c>
      <c r="L63" s="14" t="s">
        <v>2457</v>
      </c>
      <c r="M63" s="14" t="s">
        <v>44</v>
      </c>
      <c r="N63" s="14" t="s">
        <v>851</v>
      </c>
      <c r="O63" s="14" t="s">
        <v>2458</v>
      </c>
      <c r="P63" s="14" t="s">
        <v>41</v>
      </c>
      <c r="Q63" s="14"/>
      <c r="R63" s="14" t="s">
        <v>2134</v>
      </c>
    </row>
    <row r="64" customFormat="false" ht="46.25" hidden="false" customHeight="false" outlineLevel="0" collapsed="false">
      <c r="A64" s="12" t="s">
        <v>2459</v>
      </c>
      <c r="B64" s="12" t="s">
        <v>48</v>
      </c>
      <c r="C64" s="12" t="s">
        <v>142</v>
      </c>
      <c r="D64" s="13" t="s">
        <v>2460</v>
      </c>
      <c r="E64" s="13" t="s">
        <v>2461</v>
      </c>
      <c r="F64" s="13" t="s">
        <v>2462</v>
      </c>
      <c r="G64" s="13" t="s">
        <v>144</v>
      </c>
      <c r="H64" s="13" t="s">
        <v>97</v>
      </c>
      <c r="I64" s="13" t="s">
        <v>1613</v>
      </c>
      <c r="J64" s="13" t="s">
        <v>2463</v>
      </c>
      <c r="K64" s="13" t="s">
        <v>2464</v>
      </c>
      <c r="L64" s="14" t="s">
        <v>2465</v>
      </c>
      <c r="M64" s="14" t="s">
        <v>43</v>
      </c>
      <c r="N64" s="14" t="s">
        <v>2466</v>
      </c>
      <c r="O64" s="14" t="s">
        <v>2467</v>
      </c>
      <c r="P64" s="14" t="s">
        <v>41</v>
      </c>
      <c r="Q64" s="14"/>
      <c r="R64" s="14" t="s">
        <v>2134</v>
      </c>
    </row>
    <row r="65" customFormat="false" ht="46.25" hidden="false" customHeight="false" outlineLevel="0" collapsed="false">
      <c r="A65" s="12" t="s">
        <v>2468</v>
      </c>
      <c r="B65" s="12" t="s">
        <v>48</v>
      </c>
      <c r="C65" s="12" t="s">
        <v>142</v>
      </c>
      <c r="D65" s="13" t="s">
        <v>2469</v>
      </c>
      <c r="E65" s="13" t="s">
        <v>2470</v>
      </c>
      <c r="F65" s="13" t="s">
        <v>2471</v>
      </c>
      <c r="G65" s="13" t="s">
        <v>144</v>
      </c>
      <c r="H65" s="13" t="s">
        <v>97</v>
      </c>
      <c r="I65" s="13" t="s">
        <v>1613</v>
      </c>
      <c r="J65" s="13" t="s">
        <v>2472</v>
      </c>
      <c r="K65" s="13" t="s">
        <v>2473</v>
      </c>
      <c r="L65" s="14" t="s">
        <v>2474</v>
      </c>
      <c r="M65" s="14" t="s">
        <v>44</v>
      </c>
      <c r="N65" s="14" t="s">
        <v>851</v>
      </c>
      <c r="O65" s="14" t="s">
        <v>2475</v>
      </c>
      <c r="P65" s="14" t="s">
        <v>41</v>
      </c>
      <c r="Q65" s="14"/>
      <c r="R65" s="14" t="s">
        <v>2134</v>
      </c>
    </row>
    <row r="66" customFormat="false" ht="46.25" hidden="false" customHeight="false" outlineLevel="0" collapsed="false">
      <c r="A66" s="12" t="s">
        <v>2476</v>
      </c>
      <c r="B66" s="12" t="s">
        <v>48</v>
      </c>
      <c r="C66" s="12" t="s">
        <v>142</v>
      </c>
      <c r="D66" s="13" t="s">
        <v>2477</v>
      </c>
      <c r="E66" s="13" t="s">
        <v>2478</v>
      </c>
      <c r="F66" s="13" t="s">
        <v>2479</v>
      </c>
      <c r="G66" s="13" t="s">
        <v>144</v>
      </c>
      <c r="H66" s="13" t="s">
        <v>97</v>
      </c>
      <c r="I66" s="13" t="s">
        <v>1613</v>
      </c>
      <c r="J66" s="13" t="s">
        <v>2480</v>
      </c>
      <c r="K66" s="13" t="s">
        <v>2481</v>
      </c>
      <c r="L66" s="14" t="s">
        <v>2482</v>
      </c>
      <c r="M66" s="14" t="s">
        <v>43</v>
      </c>
      <c r="N66" s="14" t="s">
        <v>2483</v>
      </c>
      <c r="O66" s="14" t="s">
        <v>2484</v>
      </c>
      <c r="P66" s="14" t="s">
        <v>43</v>
      </c>
      <c r="Q66" s="14" t="s">
        <v>2485</v>
      </c>
      <c r="R66" s="14" t="s">
        <v>2134</v>
      </c>
    </row>
    <row r="67" customFormat="false" ht="46.25" hidden="false" customHeight="false" outlineLevel="0" collapsed="false">
      <c r="A67" s="12" t="s">
        <v>2486</v>
      </c>
      <c r="B67" s="12" t="s">
        <v>49</v>
      </c>
      <c r="C67" s="12" t="s">
        <v>142</v>
      </c>
      <c r="D67" s="13" t="s">
        <v>2487</v>
      </c>
      <c r="E67" s="13" t="s">
        <v>2488</v>
      </c>
      <c r="F67" s="13" t="s">
        <v>2489</v>
      </c>
      <c r="G67" s="13" t="s">
        <v>144</v>
      </c>
      <c r="H67" s="13" t="s">
        <v>97</v>
      </c>
      <c r="I67" s="13" t="s">
        <v>1613</v>
      </c>
      <c r="J67" s="13" t="s">
        <v>2490</v>
      </c>
      <c r="K67" s="13" t="s">
        <v>2491</v>
      </c>
      <c r="L67" s="14" t="s">
        <v>2492</v>
      </c>
      <c r="M67" s="14" t="s">
        <v>41</v>
      </c>
      <c r="N67" s="14"/>
      <c r="O67" s="14" t="s">
        <v>2492</v>
      </c>
      <c r="P67" s="14" t="s">
        <v>41</v>
      </c>
      <c r="Q67" s="14"/>
      <c r="R67" s="14" t="s">
        <v>2134</v>
      </c>
    </row>
    <row r="68" customFormat="false" ht="35.05" hidden="false" customHeight="false" outlineLevel="0" collapsed="false">
      <c r="A68" s="12" t="s">
        <v>2486</v>
      </c>
      <c r="B68" s="12" t="s">
        <v>49</v>
      </c>
      <c r="C68" s="12" t="s">
        <v>164</v>
      </c>
      <c r="D68" s="13" t="s">
        <v>2487</v>
      </c>
      <c r="E68" s="13" t="s">
        <v>2488</v>
      </c>
      <c r="F68" s="13" t="s">
        <v>2489</v>
      </c>
      <c r="G68" s="13" t="s">
        <v>144</v>
      </c>
      <c r="H68" s="13" t="s">
        <v>93</v>
      </c>
      <c r="I68" s="13" t="s">
        <v>1264</v>
      </c>
      <c r="J68" s="13" t="s">
        <v>1301</v>
      </c>
      <c r="K68" s="13" t="s">
        <v>2491</v>
      </c>
      <c r="L68" s="14" t="s">
        <v>2493</v>
      </c>
      <c r="M68" s="14" t="s">
        <v>44</v>
      </c>
      <c r="N68" s="14"/>
      <c r="O68" s="14" t="s">
        <v>2494</v>
      </c>
      <c r="P68" s="14" t="s">
        <v>41</v>
      </c>
      <c r="Q68" s="14"/>
      <c r="R68" s="14" t="s">
        <v>2134</v>
      </c>
    </row>
    <row r="69" customFormat="false" ht="35.05" hidden="false" customHeight="false" outlineLevel="0" collapsed="false">
      <c r="A69" s="12" t="s">
        <v>2495</v>
      </c>
      <c r="B69" s="12" t="s">
        <v>49</v>
      </c>
      <c r="C69" s="12" t="s">
        <v>142</v>
      </c>
      <c r="D69" s="13" t="s">
        <v>2496</v>
      </c>
      <c r="E69" s="13" t="s">
        <v>2497</v>
      </c>
      <c r="F69" s="13" t="s">
        <v>2498</v>
      </c>
      <c r="G69" s="13" t="s">
        <v>144</v>
      </c>
      <c r="H69" s="13" t="s">
        <v>97</v>
      </c>
      <c r="I69" s="13" t="s">
        <v>1669</v>
      </c>
      <c r="J69" s="13" t="s">
        <v>2499</v>
      </c>
      <c r="K69" s="13" t="s">
        <v>2500</v>
      </c>
      <c r="L69" s="14" t="s">
        <v>2501</v>
      </c>
      <c r="M69" s="14" t="s">
        <v>42</v>
      </c>
      <c r="N69" s="14" t="s">
        <v>2502</v>
      </c>
      <c r="O69" s="14" t="s">
        <v>2503</v>
      </c>
      <c r="P69" s="14" t="s">
        <v>41</v>
      </c>
      <c r="Q69" s="14"/>
      <c r="R69" s="14" t="s">
        <v>2134</v>
      </c>
    </row>
    <row r="70" customFormat="false" ht="35.05" hidden="false" customHeight="false" outlineLevel="0" collapsed="false">
      <c r="A70" s="12" t="s">
        <v>2495</v>
      </c>
      <c r="B70" s="12" t="s">
        <v>49</v>
      </c>
      <c r="C70" s="12" t="s">
        <v>164</v>
      </c>
      <c r="D70" s="13" t="s">
        <v>2496</v>
      </c>
      <c r="E70" s="13" t="s">
        <v>2497</v>
      </c>
      <c r="F70" s="13" t="s">
        <v>2498</v>
      </c>
      <c r="G70" s="13" t="s">
        <v>144</v>
      </c>
      <c r="H70" s="13" t="s">
        <v>95</v>
      </c>
      <c r="I70" s="13" t="s">
        <v>1605</v>
      </c>
      <c r="J70" s="13" t="s">
        <v>2504</v>
      </c>
      <c r="K70" s="13" t="s">
        <v>2500</v>
      </c>
      <c r="L70" s="14" t="s">
        <v>2501</v>
      </c>
      <c r="M70" s="14" t="s">
        <v>42</v>
      </c>
      <c r="N70" s="14" t="s">
        <v>2505</v>
      </c>
      <c r="O70" s="14" t="s">
        <v>2506</v>
      </c>
      <c r="P70" s="14" t="s">
        <v>41</v>
      </c>
      <c r="Q70" s="14"/>
      <c r="R70" s="14" t="s">
        <v>2134</v>
      </c>
    </row>
    <row r="71" customFormat="false" ht="57.45" hidden="false" customHeight="false" outlineLevel="0" collapsed="false">
      <c r="A71" s="12" t="s">
        <v>2507</v>
      </c>
      <c r="B71" s="12" t="s">
        <v>49</v>
      </c>
      <c r="C71" s="12" t="s">
        <v>142</v>
      </c>
      <c r="D71" s="13" t="s">
        <v>2508</v>
      </c>
      <c r="E71" s="13" t="s">
        <v>2509</v>
      </c>
      <c r="F71" s="13" t="s">
        <v>2510</v>
      </c>
      <c r="G71" s="13" t="s">
        <v>144</v>
      </c>
      <c r="H71" s="13" t="s">
        <v>97</v>
      </c>
      <c r="I71" s="13" t="s">
        <v>1613</v>
      </c>
      <c r="J71" s="13" t="s">
        <v>2177</v>
      </c>
      <c r="K71" s="13" t="s">
        <v>2511</v>
      </c>
      <c r="L71" s="14" t="s">
        <v>2512</v>
      </c>
      <c r="M71" s="14" t="s">
        <v>41</v>
      </c>
      <c r="N71" s="14"/>
      <c r="O71" s="14" t="s">
        <v>2513</v>
      </c>
      <c r="P71" s="14" t="s">
        <v>41</v>
      </c>
      <c r="Q71" s="14"/>
      <c r="R71" s="14" t="s">
        <v>2134</v>
      </c>
    </row>
    <row r="72" customFormat="false" ht="57.45" hidden="false" customHeight="false" outlineLevel="0" collapsed="false">
      <c r="A72" s="12" t="s">
        <v>2507</v>
      </c>
      <c r="B72" s="12" t="s">
        <v>49</v>
      </c>
      <c r="C72" s="12" t="s">
        <v>164</v>
      </c>
      <c r="D72" s="13" t="s">
        <v>2508</v>
      </c>
      <c r="E72" s="13" t="s">
        <v>2509</v>
      </c>
      <c r="F72" s="13" t="s">
        <v>2510</v>
      </c>
      <c r="G72" s="13" t="s">
        <v>144</v>
      </c>
      <c r="H72" s="13" t="s">
        <v>95</v>
      </c>
      <c r="I72" s="13" t="s">
        <v>1647</v>
      </c>
      <c r="J72" s="13" t="s">
        <v>2514</v>
      </c>
      <c r="K72" s="13" t="s">
        <v>2511</v>
      </c>
      <c r="L72" s="14" t="s">
        <v>2515</v>
      </c>
      <c r="M72" s="14" t="s">
        <v>41</v>
      </c>
      <c r="N72" s="14"/>
      <c r="O72" s="14" t="s">
        <v>2516</v>
      </c>
      <c r="P72" s="14" t="s">
        <v>41</v>
      </c>
      <c r="Q72" s="14"/>
      <c r="R72" s="14" t="s">
        <v>2134</v>
      </c>
    </row>
    <row r="73" customFormat="false" ht="46.25" hidden="false" customHeight="false" outlineLevel="0" collapsed="false">
      <c r="A73" s="12" t="s">
        <v>2507</v>
      </c>
      <c r="B73" s="12" t="s">
        <v>49</v>
      </c>
      <c r="C73" s="12" t="s">
        <v>386</v>
      </c>
      <c r="D73" s="13" t="s">
        <v>2508</v>
      </c>
      <c r="E73" s="13" t="s">
        <v>2509</v>
      </c>
      <c r="F73" s="13" t="s">
        <v>2510</v>
      </c>
      <c r="G73" s="13" t="s">
        <v>144</v>
      </c>
      <c r="H73" s="13" t="s">
        <v>93</v>
      </c>
      <c r="I73" s="13" t="s">
        <v>1264</v>
      </c>
      <c r="J73" s="13" t="s">
        <v>2517</v>
      </c>
      <c r="K73" s="13" t="s">
        <v>2511</v>
      </c>
      <c r="L73" s="14" t="s">
        <v>2518</v>
      </c>
      <c r="M73" s="14" t="s">
        <v>41</v>
      </c>
      <c r="N73" s="14"/>
      <c r="O73" s="14" t="s">
        <v>2518</v>
      </c>
      <c r="P73" s="14" t="s">
        <v>41</v>
      </c>
      <c r="Q73" s="14"/>
      <c r="R73" s="14" t="s">
        <v>2134</v>
      </c>
    </row>
    <row r="74" customFormat="false" ht="46.25" hidden="false" customHeight="false" outlineLevel="0" collapsed="false">
      <c r="A74" s="12" t="s">
        <v>2507</v>
      </c>
      <c r="B74" s="12" t="s">
        <v>49</v>
      </c>
      <c r="C74" s="12" t="s">
        <v>409</v>
      </c>
      <c r="D74" s="13" t="s">
        <v>2508</v>
      </c>
      <c r="E74" s="13" t="s">
        <v>2509</v>
      </c>
      <c r="F74" s="13" t="s">
        <v>2510</v>
      </c>
      <c r="G74" s="13" t="s">
        <v>144</v>
      </c>
      <c r="H74" s="13" t="s">
        <v>93</v>
      </c>
      <c r="I74" s="13" t="s">
        <v>1264</v>
      </c>
      <c r="J74" s="13" t="s">
        <v>2519</v>
      </c>
      <c r="K74" s="13" t="s">
        <v>2511</v>
      </c>
      <c r="L74" s="14" t="s">
        <v>2520</v>
      </c>
      <c r="M74" s="14" t="s">
        <v>41</v>
      </c>
      <c r="N74" s="14"/>
      <c r="O74" s="14" t="s">
        <v>2520</v>
      </c>
      <c r="P74" s="14" t="s">
        <v>41</v>
      </c>
      <c r="Q74" s="14"/>
      <c r="R74" s="14" t="s">
        <v>2134</v>
      </c>
    </row>
    <row r="75" customFormat="false" ht="46.25" hidden="false" customHeight="false" outlineLevel="0" collapsed="false">
      <c r="A75" s="12" t="s">
        <v>2521</v>
      </c>
      <c r="B75" s="12" t="s">
        <v>49</v>
      </c>
      <c r="C75" s="12" t="s">
        <v>142</v>
      </c>
      <c r="D75" s="13" t="s">
        <v>2522</v>
      </c>
      <c r="E75" s="13" t="s">
        <v>2523</v>
      </c>
      <c r="F75" s="13" t="s">
        <v>2524</v>
      </c>
      <c r="G75" s="13" t="s">
        <v>144</v>
      </c>
      <c r="H75" s="13"/>
      <c r="I75" s="13" t="s">
        <v>1701</v>
      </c>
      <c r="J75" s="13" t="s">
        <v>2525</v>
      </c>
      <c r="K75" s="13" t="s">
        <v>2526</v>
      </c>
      <c r="L75" s="14" t="s">
        <v>2527</v>
      </c>
      <c r="M75" s="14" t="s">
        <v>41</v>
      </c>
      <c r="N75" s="14"/>
      <c r="O75" s="14" t="s">
        <v>2527</v>
      </c>
      <c r="P75" s="14" t="s">
        <v>41</v>
      </c>
      <c r="Q75" s="14"/>
      <c r="R75" s="14" t="s">
        <v>2134</v>
      </c>
    </row>
    <row r="76" customFormat="false" ht="46.25" hidden="false" customHeight="false" outlineLevel="0" collapsed="false">
      <c r="A76" s="12" t="s">
        <v>2521</v>
      </c>
      <c r="B76" s="12" t="s">
        <v>49</v>
      </c>
      <c r="C76" s="12" t="s">
        <v>164</v>
      </c>
      <c r="D76" s="13" t="s">
        <v>2522</v>
      </c>
      <c r="E76" s="13" t="s">
        <v>2523</v>
      </c>
      <c r="F76" s="13" t="s">
        <v>2524</v>
      </c>
      <c r="G76" s="13" t="s">
        <v>144</v>
      </c>
      <c r="H76" s="13" t="s">
        <v>97</v>
      </c>
      <c r="I76" s="13" t="s">
        <v>1613</v>
      </c>
      <c r="J76" s="13" t="s">
        <v>2528</v>
      </c>
      <c r="K76" s="13" t="s">
        <v>2526</v>
      </c>
      <c r="L76" s="14" t="s">
        <v>2529</v>
      </c>
      <c r="M76" s="14" t="s">
        <v>43</v>
      </c>
      <c r="N76" s="14"/>
      <c r="O76" s="14" t="s">
        <v>2530</v>
      </c>
      <c r="P76" s="14" t="s">
        <v>41</v>
      </c>
      <c r="Q76" s="14"/>
      <c r="R76" s="14" t="s">
        <v>2134</v>
      </c>
    </row>
    <row r="77" customFormat="false" ht="35.05" hidden="false" customHeight="false" outlineLevel="0" collapsed="false">
      <c r="A77" s="12" t="s">
        <v>2531</v>
      </c>
      <c r="B77" s="12" t="s">
        <v>49</v>
      </c>
      <c r="C77" s="12" t="s">
        <v>142</v>
      </c>
      <c r="D77" s="13" t="s">
        <v>2532</v>
      </c>
      <c r="E77" s="13" t="s">
        <v>2533</v>
      </c>
      <c r="F77" s="13" t="s">
        <v>2534</v>
      </c>
      <c r="G77" s="13" t="s">
        <v>144</v>
      </c>
      <c r="H77" s="13" t="s">
        <v>97</v>
      </c>
      <c r="I77" s="13" t="s">
        <v>1613</v>
      </c>
      <c r="J77" s="13" t="s">
        <v>2535</v>
      </c>
      <c r="K77" s="13" t="s">
        <v>2536</v>
      </c>
      <c r="L77" s="14" t="s">
        <v>2537</v>
      </c>
      <c r="M77" s="14" t="s">
        <v>41</v>
      </c>
      <c r="N77" s="14"/>
      <c r="O77" s="14" t="s">
        <v>2537</v>
      </c>
      <c r="P77" s="14" t="s">
        <v>41</v>
      </c>
      <c r="Q77" s="14"/>
      <c r="R77" s="14" t="s">
        <v>2134</v>
      </c>
    </row>
    <row r="78" customFormat="false" ht="35.05" hidden="false" customHeight="false" outlineLevel="0" collapsed="false">
      <c r="A78" s="12" t="s">
        <v>2531</v>
      </c>
      <c r="B78" s="12" t="s">
        <v>49</v>
      </c>
      <c r="C78" s="12" t="s">
        <v>164</v>
      </c>
      <c r="D78" s="13" t="s">
        <v>2532</v>
      </c>
      <c r="E78" s="13" t="s">
        <v>2533</v>
      </c>
      <c r="F78" s="13" t="s">
        <v>2534</v>
      </c>
      <c r="G78" s="13" t="s">
        <v>144</v>
      </c>
      <c r="H78" s="13"/>
      <c r="I78" s="13" t="s">
        <v>1636</v>
      </c>
      <c r="J78" s="13" t="s">
        <v>2538</v>
      </c>
      <c r="K78" s="13" t="s">
        <v>2536</v>
      </c>
      <c r="L78" s="14" t="s">
        <v>2539</v>
      </c>
      <c r="M78" s="14" t="s">
        <v>41</v>
      </c>
      <c r="N78" s="14"/>
      <c r="O78" s="14" t="s">
        <v>2540</v>
      </c>
      <c r="P78" s="14" t="s">
        <v>41</v>
      </c>
      <c r="Q78" s="14"/>
      <c r="R78" s="14" t="s">
        <v>2134</v>
      </c>
    </row>
    <row r="79" customFormat="false" ht="35.05" hidden="false" customHeight="false" outlineLevel="0" collapsed="false">
      <c r="A79" s="12" t="s">
        <v>2541</v>
      </c>
      <c r="B79" s="12" t="s">
        <v>49</v>
      </c>
      <c r="C79" s="12" t="s">
        <v>142</v>
      </c>
      <c r="D79" s="13" t="s">
        <v>2542</v>
      </c>
      <c r="E79" s="13" t="s">
        <v>2543</v>
      </c>
      <c r="F79" s="13" t="s">
        <v>2544</v>
      </c>
      <c r="G79" s="13" t="s">
        <v>144</v>
      </c>
      <c r="H79" s="13" t="s">
        <v>93</v>
      </c>
      <c r="I79" s="13" t="s">
        <v>1274</v>
      </c>
      <c r="J79" s="13" t="s">
        <v>1552</v>
      </c>
      <c r="K79" s="13" t="s">
        <v>2545</v>
      </c>
      <c r="L79" s="14" t="s">
        <v>2546</v>
      </c>
      <c r="M79" s="14" t="s">
        <v>42</v>
      </c>
      <c r="N79" s="14" t="s">
        <v>2547</v>
      </c>
      <c r="O79" s="14" t="s">
        <v>2548</v>
      </c>
      <c r="P79" s="14" t="s">
        <v>41</v>
      </c>
      <c r="Q79" s="14"/>
      <c r="R79" s="14" t="s">
        <v>2134</v>
      </c>
    </row>
    <row r="80" customFormat="false" ht="35.05" hidden="false" customHeight="false" outlineLevel="0" collapsed="false">
      <c r="A80" s="12" t="s">
        <v>2541</v>
      </c>
      <c r="B80" s="12" t="s">
        <v>49</v>
      </c>
      <c r="C80" s="12" t="s">
        <v>164</v>
      </c>
      <c r="D80" s="13" t="s">
        <v>2542</v>
      </c>
      <c r="E80" s="13" t="s">
        <v>2543</v>
      </c>
      <c r="F80" s="13" t="s">
        <v>2544</v>
      </c>
      <c r="G80" s="13" t="s">
        <v>144</v>
      </c>
      <c r="H80" s="13" t="s">
        <v>97</v>
      </c>
      <c r="I80" s="13" t="s">
        <v>1669</v>
      </c>
      <c r="J80" s="13" t="s">
        <v>2549</v>
      </c>
      <c r="K80" s="13" t="s">
        <v>2545</v>
      </c>
      <c r="L80" s="14" t="s">
        <v>2546</v>
      </c>
      <c r="M80" s="14" t="s">
        <v>42</v>
      </c>
      <c r="N80" s="14" t="s">
        <v>2502</v>
      </c>
      <c r="O80" s="14" t="s">
        <v>2550</v>
      </c>
      <c r="P80" s="14" t="s">
        <v>41</v>
      </c>
      <c r="Q80" s="14"/>
      <c r="R80" s="14" t="s">
        <v>2134</v>
      </c>
    </row>
    <row r="81" customFormat="false" ht="57.45" hidden="false" customHeight="false" outlineLevel="0" collapsed="false">
      <c r="A81" s="12" t="s">
        <v>2551</v>
      </c>
      <c r="B81" s="12" t="s">
        <v>49</v>
      </c>
      <c r="C81" s="12" t="s">
        <v>142</v>
      </c>
      <c r="D81" s="13" t="s">
        <v>2552</v>
      </c>
      <c r="E81" s="13" t="s">
        <v>2553</v>
      </c>
      <c r="F81" s="13" t="s">
        <v>2554</v>
      </c>
      <c r="G81" s="13" t="s">
        <v>144</v>
      </c>
      <c r="H81" s="13" t="s">
        <v>97</v>
      </c>
      <c r="I81" s="13" t="s">
        <v>1613</v>
      </c>
      <c r="J81" s="13" t="s">
        <v>2555</v>
      </c>
      <c r="K81" s="13" t="s">
        <v>2556</v>
      </c>
      <c r="L81" s="14" t="s">
        <v>2557</v>
      </c>
      <c r="M81" s="14" t="s">
        <v>41</v>
      </c>
      <c r="N81" s="14"/>
      <c r="O81" s="14" t="s">
        <v>2558</v>
      </c>
      <c r="P81" s="14" t="s">
        <v>42</v>
      </c>
      <c r="Q81" s="14" t="s">
        <v>2559</v>
      </c>
      <c r="R81" s="14" t="s">
        <v>2134</v>
      </c>
    </row>
    <row r="82" customFormat="false" ht="57.45" hidden="false" customHeight="false" outlineLevel="0" collapsed="false">
      <c r="A82" s="12" t="s">
        <v>2551</v>
      </c>
      <c r="B82" s="12" t="s">
        <v>49</v>
      </c>
      <c r="C82" s="12" t="s">
        <v>164</v>
      </c>
      <c r="D82" s="13" t="s">
        <v>2552</v>
      </c>
      <c r="E82" s="13" t="s">
        <v>2553</v>
      </c>
      <c r="F82" s="13" t="s">
        <v>2554</v>
      </c>
      <c r="G82" s="13" t="s">
        <v>144</v>
      </c>
      <c r="H82" s="13" t="s">
        <v>95</v>
      </c>
      <c r="I82" s="13" t="s">
        <v>1647</v>
      </c>
      <c r="J82" s="13" t="s">
        <v>2560</v>
      </c>
      <c r="K82" s="13" t="s">
        <v>2556</v>
      </c>
      <c r="L82" s="14" t="s">
        <v>2561</v>
      </c>
      <c r="M82" s="14" t="s">
        <v>43</v>
      </c>
      <c r="N82" s="14"/>
      <c r="O82" s="14" t="s">
        <v>2558</v>
      </c>
      <c r="P82" s="14" t="s">
        <v>42</v>
      </c>
      <c r="Q82" s="14" t="s">
        <v>2562</v>
      </c>
      <c r="R82" s="14" t="s">
        <v>2134</v>
      </c>
    </row>
    <row r="83" customFormat="false" ht="35.05" hidden="false" customHeight="false" outlineLevel="0" collapsed="false">
      <c r="A83" s="12" t="s">
        <v>2563</v>
      </c>
      <c r="B83" s="12" t="s">
        <v>49</v>
      </c>
      <c r="C83" s="12" t="s">
        <v>142</v>
      </c>
      <c r="D83" s="13" t="s">
        <v>2564</v>
      </c>
      <c r="E83" s="13" t="s">
        <v>2565</v>
      </c>
      <c r="F83" s="13" t="s">
        <v>2566</v>
      </c>
      <c r="G83" s="13" t="s">
        <v>144</v>
      </c>
      <c r="H83" s="13" t="s">
        <v>1627</v>
      </c>
      <c r="I83" s="13" t="s">
        <v>1628</v>
      </c>
      <c r="J83" s="13" t="s">
        <v>1629</v>
      </c>
      <c r="K83" s="13" t="s">
        <v>2567</v>
      </c>
      <c r="L83" s="14" t="s">
        <v>2568</v>
      </c>
      <c r="M83" s="14" t="s">
        <v>41</v>
      </c>
      <c r="N83" s="14"/>
      <c r="O83" s="14" t="s">
        <v>2568</v>
      </c>
      <c r="P83" s="14" t="s">
        <v>41</v>
      </c>
      <c r="Q83" s="14"/>
      <c r="R83" s="14" t="s">
        <v>2134</v>
      </c>
    </row>
    <row r="84" customFormat="false" ht="23.85" hidden="false" customHeight="false" outlineLevel="0" collapsed="false">
      <c r="A84" s="12" t="s">
        <v>2563</v>
      </c>
      <c r="B84" s="12" t="s">
        <v>49</v>
      </c>
      <c r="C84" s="12" t="s">
        <v>164</v>
      </c>
      <c r="D84" s="13" t="s">
        <v>2564</v>
      </c>
      <c r="E84" s="13" t="s">
        <v>2565</v>
      </c>
      <c r="F84" s="13" t="s">
        <v>2566</v>
      </c>
      <c r="G84" s="13" t="s">
        <v>144</v>
      </c>
      <c r="H84" s="13" t="s">
        <v>97</v>
      </c>
      <c r="I84" s="13" t="s">
        <v>1669</v>
      </c>
      <c r="J84" s="13" t="s">
        <v>2569</v>
      </c>
      <c r="K84" s="13" t="s">
        <v>2567</v>
      </c>
      <c r="L84" s="14"/>
      <c r="M84" s="14" t="s">
        <v>44</v>
      </c>
      <c r="N84" s="14" t="s">
        <v>2570</v>
      </c>
      <c r="O84" s="14" t="s">
        <v>2571</v>
      </c>
      <c r="P84" s="14" t="s">
        <v>41</v>
      </c>
      <c r="Q84" s="14"/>
      <c r="R84" s="14" t="s">
        <v>2134</v>
      </c>
    </row>
    <row r="85" customFormat="false" ht="23.85" hidden="false" customHeight="false" outlineLevel="0" collapsed="false">
      <c r="A85" s="12" t="s">
        <v>2563</v>
      </c>
      <c r="B85" s="12" t="s">
        <v>49</v>
      </c>
      <c r="C85" s="12" t="s">
        <v>1396</v>
      </c>
      <c r="D85" s="13" t="s">
        <v>2564</v>
      </c>
      <c r="E85" s="13" t="s">
        <v>2565</v>
      </c>
      <c r="F85" s="13" t="s">
        <v>2566</v>
      </c>
      <c r="G85" s="13" t="s">
        <v>144</v>
      </c>
      <c r="H85" s="13"/>
      <c r="I85" s="13" t="s">
        <v>387</v>
      </c>
      <c r="J85" s="13"/>
      <c r="K85" s="13" t="s">
        <v>2567</v>
      </c>
      <c r="L85" s="14"/>
      <c r="M85" s="14" t="s">
        <v>43</v>
      </c>
      <c r="N85" s="14"/>
      <c r="O85" s="14"/>
      <c r="P85" s="14"/>
      <c r="Q85" s="14"/>
      <c r="R85" s="14"/>
    </row>
    <row r="86" customFormat="false" ht="35.05" hidden="false" customHeight="false" outlineLevel="0" collapsed="false">
      <c r="A86" s="12" t="s">
        <v>2572</v>
      </c>
      <c r="B86" s="12" t="s">
        <v>49</v>
      </c>
      <c r="C86" s="12" t="s">
        <v>142</v>
      </c>
      <c r="D86" s="13" t="s">
        <v>2573</v>
      </c>
      <c r="E86" s="13" t="s">
        <v>2574</v>
      </c>
      <c r="F86" s="13" t="s">
        <v>2575</v>
      </c>
      <c r="G86" s="13" t="s">
        <v>144</v>
      </c>
      <c r="H86" s="13" t="s">
        <v>97</v>
      </c>
      <c r="I86" s="13" t="s">
        <v>1613</v>
      </c>
      <c r="J86" s="13" t="s">
        <v>2576</v>
      </c>
      <c r="K86" s="13" t="s">
        <v>2577</v>
      </c>
      <c r="L86" s="14" t="s">
        <v>2578</v>
      </c>
      <c r="M86" s="14" t="s">
        <v>41</v>
      </c>
      <c r="N86" s="14"/>
      <c r="O86" s="14" t="s">
        <v>2579</v>
      </c>
      <c r="P86" s="14" t="s">
        <v>41</v>
      </c>
      <c r="Q86" s="14"/>
      <c r="R86" s="14" t="s">
        <v>2134</v>
      </c>
    </row>
    <row r="87" customFormat="false" ht="35.05" hidden="false" customHeight="false" outlineLevel="0" collapsed="false">
      <c r="A87" s="12" t="s">
        <v>2572</v>
      </c>
      <c r="B87" s="12" t="s">
        <v>49</v>
      </c>
      <c r="C87" s="12" t="s">
        <v>164</v>
      </c>
      <c r="D87" s="13" t="s">
        <v>2573</v>
      </c>
      <c r="E87" s="13" t="s">
        <v>2574</v>
      </c>
      <c r="F87" s="13" t="s">
        <v>2575</v>
      </c>
      <c r="G87" s="13" t="s">
        <v>144</v>
      </c>
      <c r="H87" s="13" t="s">
        <v>97</v>
      </c>
      <c r="I87" s="13" t="s">
        <v>1669</v>
      </c>
      <c r="J87" s="13" t="s">
        <v>2580</v>
      </c>
      <c r="K87" s="13" t="s">
        <v>2577</v>
      </c>
      <c r="L87" s="14" t="s">
        <v>2581</v>
      </c>
      <c r="M87" s="14" t="s">
        <v>41</v>
      </c>
      <c r="N87" s="14"/>
      <c r="O87" s="14" t="s">
        <v>2582</v>
      </c>
      <c r="P87" s="14" t="s">
        <v>41</v>
      </c>
      <c r="Q87" s="14"/>
      <c r="R87" s="14" t="s">
        <v>2134</v>
      </c>
    </row>
    <row r="88" customFormat="false" ht="46.25" hidden="false" customHeight="false" outlineLevel="0" collapsed="false">
      <c r="A88" s="12" t="s">
        <v>2583</v>
      </c>
      <c r="B88" s="12" t="s">
        <v>49</v>
      </c>
      <c r="C88" s="12" t="s">
        <v>142</v>
      </c>
      <c r="D88" s="13" t="s">
        <v>2584</v>
      </c>
      <c r="E88" s="13" t="s">
        <v>2585</v>
      </c>
      <c r="F88" s="13" t="s">
        <v>2586</v>
      </c>
      <c r="G88" s="13" t="s">
        <v>144</v>
      </c>
      <c r="H88" s="13" t="s">
        <v>97</v>
      </c>
      <c r="I88" s="13" t="s">
        <v>1613</v>
      </c>
      <c r="J88" s="13" t="s">
        <v>2587</v>
      </c>
      <c r="K88" s="13" t="s">
        <v>2588</v>
      </c>
      <c r="L88" s="14" t="s">
        <v>2589</v>
      </c>
      <c r="M88" s="14" t="s">
        <v>41</v>
      </c>
      <c r="N88" s="14"/>
      <c r="O88" s="14" t="s">
        <v>2590</v>
      </c>
      <c r="P88" s="14" t="s">
        <v>41</v>
      </c>
      <c r="Q88" s="14"/>
      <c r="R88" s="14" t="s">
        <v>2134</v>
      </c>
    </row>
    <row r="89" customFormat="false" ht="46.25" hidden="false" customHeight="false" outlineLevel="0" collapsed="false">
      <c r="A89" s="12" t="s">
        <v>2583</v>
      </c>
      <c r="B89" s="12" t="s">
        <v>49</v>
      </c>
      <c r="C89" s="12" t="s">
        <v>164</v>
      </c>
      <c r="D89" s="13" t="s">
        <v>2584</v>
      </c>
      <c r="E89" s="13" t="s">
        <v>2585</v>
      </c>
      <c r="F89" s="13" t="s">
        <v>2586</v>
      </c>
      <c r="G89" s="13" t="s">
        <v>144</v>
      </c>
      <c r="H89" s="13" t="s">
        <v>93</v>
      </c>
      <c r="I89" s="13" t="s">
        <v>1264</v>
      </c>
      <c r="J89" s="13" t="s">
        <v>2591</v>
      </c>
      <c r="K89" s="13" t="s">
        <v>2588</v>
      </c>
      <c r="L89" s="14" t="s">
        <v>2592</v>
      </c>
      <c r="M89" s="14" t="s">
        <v>41</v>
      </c>
      <c r="N89" s="14"/>
      <c r="O89" s="14" t="s">
        <v>2593</v>
      </c>
      <c r="P89" s="14" t="s">
        <v>44</v>
      </c>
      <c r="Q89" s="14" t="s">
        <v>2594</v>
      </c>
      <c r="R89" s="14" t="s">
        <v>2134</v>
      </c>
    </row>
    <row r="90" customFormat="false" ht="46.25" hidden="false" customHeight="false" outlineLevel="0" collapsed="false">
      <c r="A90" s="12" t="s">
        <v>2583</v>
      </c>
      <c r="B90" s="12" t="s">
        <v>49</v>
      </c>
      <c r="C90" s="12" t="s">
        <v>386</v>
      </c>
      <c r="D90" s="13" t="s">
        <v>2584</v>
      </c>
      <c r="E90" s="13" t="s">
        <v>2585</v>
      </c>
      <c r="F90" s="13" t="s">
        <v>2586</v>
      </c>
      <c r="G90" s="13" t="s">
        <v>144</v>
      </c>
      <c r="H90" s="13" t="s">
        <v>95</v>
      </c>
      <c r="I90" s="13" t="s">
        <v>1605</v>
      </c>
      <c r="J90" s="13" t="s">
        <v>2222</v>
      </c>
      <c r="K90" s="13" t="s">
        <v>2588</v>
      </c>
      <c r="L90" s="14" t="s">
        <v>2595</v>
      </c>
      <c r="M90" s="14" t="s">
        <v>41</v>
      </c>
      <c r="N90" s="14"/>
      <c r="O90" s="14" t="s">
        <v>2595</v>
      </c>
      <c r="P90" s="14" t="s">
        <v>41</v>
      </c>
      <c r="Q90" s="14"/>
      <c r="R90" s="14" t="s">
        <v>2134</v>
      </c>
    </row>
    <row r="91" customFormat="false" ht="46.25" hidden="false" customHeight="false" outlineLevel="0" collapsed="false">
      <c r="A91" s="12" t="s">
        <v>2583</v>
      </c>
      <c r="B91" s="12" t="s">
        <v>49</v>
      </c>
      <c r="C91" s="12" t="s">
        <v>1396</v>
      </c>
      <c r="D91" s="13" t="s">
        <v>2584</v>
      </c>
      <c r="E91" s="13" t="s">
        <v>2585</v>
      </c>
      <c r="F91" s="13" t="s">
        <v>2586</v>
      </c>
      <c r="G91" s="13" t="s">
        <v>144</v>
      </c>
      <c r="H91" s="13"/>
      <c r="I91" s="13" t="s">
        <v>387</v>
      </c>
      <c r="J91" s="13"/>
      <c r="K91" s="13" t="s">
        <v>2588</v>
      </c>
      <c r="L91" s="14"/>
      <c r="M91" s="14"/>
      <c r="N91" s="14"/>
      <c r="O91" s="14" t="s">
        <v>2593</v>
      </c>
      <c r="P91" s="14" t="s">
        <v>43</v>
      </c>
      <c r="Q91" s="14"/>
      <c r="R91" s="14" t="s">
        <v>2134</v>
      </c>
    </row>
  </sheetData>
  <conditionalFormatting sqref="M5:M91">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91">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2596</v>
      </c>
    </row>
    <row r="2" customFormat="false" ht="15" hidden="false" customHeight="false" outlineLevel="0" collapsed="false">
      <c r="A2" s="2" t="s">
        <v>2597</v>
      </c>
    </row>
    <row r="3" customFormat="false" ht="15" hidden="false" customHeight="false" outlineLevel="0" collapsed="false">
      <c r="A3" s="2" t="s">
        <v>2598</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1256</v>
      </c>
      <c r="P4" s="8" t="s">
        <v>1257</v>
      </c>
      <c r="Q4" s="8" t="s">
        <v>1258</v>
      </c>
      <c r="R4" s="8" t="s">
        <v>1259</v>
      </c>
    </row>
    <row r="5" customFormat="false" ht="35.05" hidden="false" customHeight="false" outlineLevel="0" collapsed="false">
      <c r="A5" s="12" t="s">
        <v>2599</v>
      </c>
      <c r="B5" s="12" t="s">
        <v>45</v>
      </c>
      <c r="C5" s="12" t="s">
        <v>142</v>
      </c>
      <c r="D5" s="13" t="s">
        <v>2600</v>
      </c>
      <c r="E5" s="13" t="s">
        <v>2601</v>
      </c>
      <c r="F5" s="13" t="s">
        <v>2602</v>
      </c>
      <c r="G5" s="13" t="s">
        <v>144</v>
      </c>
      <c r="H5" s="13"/>
      <c r="I5" s="13" t="s">
        <v>1636</v>
      </c>
      <c r="J5" s="13" t="s">
        <v>2603</v>
      </c>
      <c r="K5" s="13" t="s">
        <v>2604</v>
      </c>
      <c r="L5" s="14" t="s">
        <v>2605</v>
      </c>
      <c r="M5" s="14" t="s">
        <v>41</v>
      </c>
      <c r="N5" s="14"/>
      <c r="O5" s="14" t="s">
        <v>2605</v>
      </c>
      <c r="P5" s="14" t="s">
        <v>41</v>
      </c>
      <c r="Q5" s="14"/>
      <c r="R5" s="14" t="s">
        <v>2606</v>
      </c>
    </row>
    <row r="6" customFormat="false" ht="23.85" hidden="false" customHeight="false" outlineLevel="0" collapsed="false">
      <c r="A6" s="12" t="s">
        <v>2599</v>
      </c>
      <c r="B6" s="12" t="s">
        <v>45</v>
      </c>
      <c r="C6" s="12" t="s">
        <v>164</v>
      </c>
      <c r="D6" s="13" t="s">
        <v>2600</v>
      </c>
      <c r="E6" s="13" t="s">
        <v>2601</v>
      </c>
      <c r="F6" s="13" t="s">
        <v>2602</v>
      </c>
      <c r="G6" s="13" t="s">
        <v>144</v>
      </c>
      <c r="H6" s="13"/>
      <c r="I6" s="13" t="s">
        <v>1681</v>
      </c>
      <c r="J6" s="13" t="s">
        <v>2607</v>
      </c>
      <c r="K6" s="13" t="s">
        <v>2604</v>
      </c>
      <c r="L6" s="14"/>
      <c r="M6" s="14" t="s">
        <v>44</v>
      </c>
      <c r="N6" s="14"/>
      <c r="O6" s="14" t="s">
        <v>2608</v>
      </c>
      <c r="P6" s="14" t="s">
        <v>41</v>
      </c>
      <c r="Q6" s="14"/>
      <c r="R6" s="14" t="s">
        <v>2606</v>
      </c>
    </row>
    <row r="7" customFormat="false" ht="35.05" hidden="false" customHeight="false" outlineLevel="0" collapsed="false">
      <c r="A7" s="12" t="s">
        <v>2609</v>
      </c>
      <c r="B7" s="12" t="s">
        <v>45</v>
      </c>
      <c r="C7" s="12" t="s">
        <v>142</v>
      </c>
      <c r="D7" s="13" t="s">
        <v>2610</v>
      </c>
      <c r="E7" s="13" t="s">
        <v>2611</v>
      </c>
      <c r="F7" s="13" t="s">
        <v>2612</v>
      </c>
      <c r="G7" s="13" t="s">
        <v>144</v>
      </c>
      <c r="H7" s="13"/>
      <c r="I7" s="13" t="s">
        <v>1636</v>
      </c>
      <c r="J7" s="13" t="s">
        <v>2613</v>
      </c>
      <c r="K7" s="13" t="s">
        <v>2614</v>
      </c>
      <c r="L7" s="14" t="s">
        <v>2615</v>
      </c>
      <c r="M7" s="14" t="s">
        <v>41</v>
      </c>
      <c r="N7" s="14"/>
      <c r="O7" s="14" t="s">
        <v>2615</v>
      </c>
      <c r="P7" s="14" t="s">
        <v>41</v>
      </c>
      <c r="Q7" s="14"/>
      <c r="R7" s="14" t="s">
        <v>2606</v>
      </c>
    </row>
    <row r="8" customFormat="false" ht="35.05" hidden="false" customHeight="false" outlineLevel="0" collapsed="false">
      <c r="A8" s="12" t="s">
        <v>2609</v>
      </c>
      <c r="B8" s="12" t="s">
        <v>45</v>
      </c>
      <c r="C8" s="12" t="s">
        <v>164</v>
      </c>
      <c r="D8" s="13" t="s">
        <v>2610</v>
      </c>
      <c r="E8" s="13" t="s">
        <v>2611</v>
      </c>
      <c r="F8" s="13" t="s">
        <v>2612</v>
      </c>
      <c r="G8" s="13" t="s">
        <v>144</v>
      </c>
      <c r="H8" s="13"/>
      <c r="I8" s="13" t="s">
        <v>1681</v>
      </c>
      <c r="J8" s="13" t="s">
        <v>2616</v>
      </c>
      <c r="K8" s="13" t="s">
        <v>2614</v>
      </c>
      <c r="L8" s="14"/>
      <c r="M8" s="14" t="s">
        <v>44</v>
      </c>
      <c r="N8" s="14"/>
      <c r="O8" s="14" t="s">
        <v>2617</v>
      </c>
      <c r="P8" s="14" t="s">
        <v>41</v>
      </c>
      <c r="Q8" s="14"/>
      <c r="R8" s="14" t="s">
        <v>2606</v>
      </c>
    </row>
    <row r="9" customFormat="false" ht="23.85" hidden="false" customHeight="false" outlineLevel="0" collapsed="false">
      <c r="A9" s="12" t="s">
        <v>2618</v>
      </c>
      <c r="B9" s="12" t="s">
        <v>45</v>
      </c>
      <c r="C9" s="12" t="s">
        <v>142</v>
      </c>
      <c r="D9" s="13" t="s">
        <v>2619</v>
      </c>
      <c r="E9" s="13" t="s">
        <v>2620</v>
      </c>
      <c r="F9" s="13" t="s">
        <v>2621</v>
      </c>
      <c r="G9" s="13" t="s">
        <v>144</v>
      </c>
      <c r="H9" s="13"/>
      <c r="I9" s="13" t="s">
        <v>1636</v>
      </c>
      <c r="J9" s="13" t="s">
        <v>2622</v>
      </c>
      <c r="K9" s="13" t="s">
        <v>2623</v>
      </c>
      <c r="L9" s="14" t="s">
        <v>2624</v>
      </c>
      <c r="M9" s="14" t="s">
        <v>41</v>
      </c>
      <c r="N9" s="14"/>
      <c r="O9" s="14" t="s">
        <v>2624</v>
      </c>
      <c r="P9" s="14" t="s">
        <v>41</v>
      </c>
      <c r="Q9" s="14"/>
      <c r="R9" s="14" t="s">
        <v>2606</v>
      </c>
    </row>
    <row r="10" customFormat="false" ht="23.85" hidden="false" customHeight="false" outlineLevel="0" collapsed="false">
      <c r="A10" s="12" t="s">
        <v>2618</v>
      </c>
      <c r="B10" s="12" t="s">
        <v>45</v>
      </c>
      <c r="C10" s="12" t="s">
        <v>164</v>
      </c>
      <c r="D10" s="13" t="s">
        <v>2619</v>
      </c>
      <c r="E10" s="13" t="s">
        <v>2620</v>
      </c>
      <c r="F10" s="13" t="s">
        <v>2621</v>
      </c>
      <c r="G10" s="13" t="s">
        <v>144</v>
      </c>
      <c r="H10" s="13"/>
      <c r="I10" s="13" t="s">
        <v>1681</v>
      </c>
      <c r="J10" s="13" t="s">
        <v>2625</v>
      </c>
      <c r="K10" s="13" t="s">
        <v>2623</v>
      </c>
      <c r="L10" s="14" t="s">
        <v>2626</v>
      </c>
      <c r="M10" s="14" t="s">
        <v>41</v>
      </c>
      <c r="N10" s="14"/>
      <c r="O10" s="14" t="s">
        <v>2626</v>
      </c>
      <c r="P10" s="14" t="s">
        <v>41</v>
      </c>
      <c r="Q10" s="14"/>
      <c r="R10" s="14" t="s">
        <v>2606</v>
      </c>
    </row>
    <row r="11" customFormat="false" ht="35.05" hidden="false" customHeight="false" outlineLevel="0" collapsed="false">
      <c r="A11" s="12" t="s">
        <v>2627</v>
      </c>
      <c r="B11" s="12" t="s">
        <v>45</v>
      </c>
      <c r="C11" s="12" t="s">
        <v>142</v>
      </c>
      <c r="D11" s="13" t="s">
        <v>2628</v>
      </c>
      <c r="E11" s="13" t="s">
        <v>2629</v>
      </c>
      <c r="F11" s="13" t="s">
        <v>2630</v>
      </c>
      <c r="G11" s="13" t="s">
        <v>144</v>
      </c>
      <c r="H11" s="13"/>
      <c r="I11" s="13" t="s">
        <v>1636</v>
      </c>
      <c r="J11" s="13" t="s">
        <v>2631</v>
      </c>
      <c r="K11" s="13" t="s">
        <v>2632</v>
      </c>
      <c r="L11" s="14" t="s">
        <v>2633</v>
      </c>
      <c r="M11" s="14" t="s">
        <v>41</v>
      </c>
      <c r="N11" s="14"/>
      <c r="O11" s="14" t="s">
        <v>2633</v>
      </c>
      <c r="P11" s="14" t="s">
        <v>41</v>
      </c>
      <c r="Q11" s="14"/>
      <c r="R11" s="14" t="s">
        <v>2606</v>
      </c>
    </row>
    <row r="12" customFormat="false" ht="23.85" hidden="false" customHeight="false" outlineLevel="0" collapsed="false">
      <c r="A12" s="12" t="s">
        <v>2627</v>
      </c>
      <c r="B12" s="12" t="s">
        <v>45</v>
      </c>
      <c r="C12" s="12" t="s">
        <v>164</v>
      </c>
      <c r="D12" s="13" t="s">
        <v>2628</v>
      </c>
      <c r="E12" s="13" t="s">
        <v>2629</v>
      </c>
      <c r="F12" s="13" t="s">
        <v>2630</v>
      </c>
      <c r="G12" s="13" t="s">
        <v>144</v>
      </c>
      <c r="H12" s="13"/>
      <c r="I12" s="13" t="s">
        <v>1681</v>
      </c>
      <c r="J12" s="13" t="s">
        <v>2634</v>
      </c>
      <c r="K12" s="13" t="s">
        <v>2632</v>
      </c>
      <c r="L12" s="14"/>
      <c r="M12" s="14" t="s">
        <v>44</v>
      </c>
      <c r="N12" s="14"/>
      <c r="O12" s="14" t="s">
        <v>2635</v>
      </c>
      <c r="P12" s="14" t="s">
        <v>41</v>
      </c>
      <c r="Q12" s="14"/>
      <c r="R12" s="14" t="s">
        <v>2606</v>
      </c>
    </row>
    <row r="13" customFormat="false" ht="23.85" hidden="false" customHeight="false" outlineLevel="0" collapsed="false">
      <c r="A13" s="12" t="s">
        <v>2636</v>
      </c>
      <c r="B13" s="12" t="s">
        <v>45</v>
      </c>
      <c r="C13" s="12" t="s">
        <v>142</v>
      </c>
      <c r="D13" s="13" t="s">
        <v>2637</v>
      </c>
      <c r="E13" s="13" t="s">
        <v>2638</v>
      </c>
      <c r="F13" s="13" t="s">
        <v>2639</v>
      </c>
      <c r="G13" s="13" t="s">
        <v>144</v>
      </c>
      <c r="H13" s="13"/>
      <c r="I13" s="13" t="s">
        <v>1636</v>
      </c>
      <c r="J13" s="13" t="s">
        <v>2640</v>
      </c>
      <c r="K13" s="13" t="s">
        <v>2641</v>
      </c>
      <c r="L13" s="14" t="s">
        <v>2642</v>
      </c>
      <c r="M13" s="14" t="s">
        <v>41</v>
      </c>
      <c r="N13" s="14"/>
      <c r="O13" s="14" t="s">
        <v>2642</v>
      </c>
      <c r="P13" s="14" t="s">
        <v>41</v>
      </c>
      <c r="Q13" s="14"/>
      <c r="R13" s="14" t="s">
        <v>2606</v>
      </c>
    </row>
    <row r="14" customFormat="false" ht="23.85" hidden="false" customHeight="false" outlineLevel="0" collapsed="false">
      <c r="A14" s="12" t="s">
        <v>2636</v>
      </c>
      <c r="B14" s="12" t="s">
        <v>45</v>
      </c>
      <c r="C14" s="12" t="s">
        <v>164</v>
      </c>
      <c r="D14" s="13" t="s">
        <v>2637</v>
      </c>
      <c r="E14" s="13" t="s">
        <v>2638</v>
      </c>
      <c r="F14" s="13" t="s">
        <v>2639</v>
      </c>
      <c r="G14" s="13" t="s">
        <v>144</v>
      </c>
      <c r="H14" s="13"/>
      <c r="I14" s="13" t="s">
        <v>1681</v>
      </c>
      <c r="J14" s="13" t="s">
        <v>2643</v>
      </c>
      <c r="K14" s="13" t="s">
        <v>2641</v>
      </c>
      <c r="L14" s="14"/>
      <c r="M14" s="14" t="s">
        <v>44</v>
      </c>
      <c r="N14" s="14"/>
      <c r="O14" s="14" t="s">
        <v>2644</v>
      </c>
      <c r="P14" s="14" t="s">
        <v>41</v>
      </c>
      <c r="Q14" s="14"/>
      <c r="R14" s="14" t="s">
        <v>2606</v>
      </c>
    </row>
    <row r="15" customFormat="false" ht="23.85" hidden="false" customHeight="false" outlineLevel="0" collapsed="false">
      <c r="A15" s="12" t="s">
        <v>2645</v>
      </c>
      <c r="B15" s="12" t="s">
        <v>45</v>
      </c>
      <c r="C15" s="12" t="s">
        <v>142</v>
      </c>
      <c r="D15" s="13" t="s">
        <v>2646</v>
      </c>
      <c r="E15" s="13" t="s">
        <v>2647</v>
      </c>
      <c r="F15" s="13" t="s">
        <v>2648</v>
      </c>
      <c r="G15" s="13" t="s">
        <v>144</v>
      </c>
      <c r="H15" s="13"/>
      <c r="I15" s="13" t="s">
        <v>1636</v>
      </c>
      <c r="J15" s="13" t="s">
        <v>2649</v>
      </c>
      <c r="K15" s="13" t="s">
        <v>2650</v>
      </c>
      <c r="L15" s="14" t="s">
        <v>2651</v>
      </c>
      <c r="M15" s="14" t="s">
        <v>43</v>
      </c>
      <c r="N15" s="14" t="s">
        <v>915</v>
      </c>
      <c r="O15" s="14" t="s">
        <v>2652</v>
      </c>
      <c r="P15" s="14" t="s">
        <v>41</v>
      </c>
      <c r="Q15" s="14"/>
      <c r="R15" s="14" t="s">
        <v>2606</v>
      </c>
    </row>
    <row r="16" customFormat="false" ht="23.85" hidden="false" customHeight="false" outlineLevel="0" collapsed="false">
      <c r="A16" s="12" t="s">
        <v>2645</v>
      </c>
      <c r="B16" s="12" t="s">
        <v>45</v>
      </c>
      <c r="C16" s="12" t="s">
        <v>164</v>
      </c>
      <c r="D16" s="13" t="s">
        <v>2646</v>
      </c>
      <c r="E16" s="13" t="s">
        <v>2647</v>
      </c>
      <c r="F16" s="13" t="s">
        <v>2648</v>
      </c>
      <c r="G16" s="13" t="s">
        <v>144</v>
      </c>
      <c r="H16" s="13"/>
      <c r="I16" s="13" t="s">
        <v>1681</v>
      </c>
      <c r="J16" s="13" t="s">
        <v>2653</v>
      </c>
      <c r="K16" s="13" t="s">
        <v>2650</v>
      </c>
      <c r="L16" s="14"/>
      <c r="M16" s="14" t="s">
        <v>44</v>
      </c>
      <c r="N16" s="14" t="s">
        <v>2654</v>
      </c>
      <c r="O16" s="14" t="s">
        <v>2655</v>
      </c>
      <c r="P16" s="14" t="s">
        <v>41</v>
      </c>
      <c r="Q16" s="14"/>
      <c r="R16" s="14" t="s">
        <v>2606</v>
      </c>
    </row>
    <row r="17" customFormat="false" ht="35.05" hidden="false" customHeight="false" outlineLevel="0" collapsed="false">
      <c r="A17" s="12" t="s">
        <v>2656</v>
      </c>
      <c r="B17" s="12" t="s">
        <v>45</v>
      </c>
      <c r="C17" s="12" t="s">
        <v>142</v>
      </c>
      <c r="D17" s="13" t="s">
        <v>2657</v>
      </c>
      <c r="E17" s="13" t="s">
        <v>2658</v>
      </c>
      <c r="F17" s="13" t="s">
        <v>2659</v>
      </c>
      <c r="G17" s="13" t="s">
        <v>144</v>
      </c>
      <c r="H17" s="13"/>
      <c r="I17" s="13" t="s">
        <v>1636</v>
      </c>
      <c r="J17" s="13" t="s">
        <v>2660</v>
      </c>
      <c r="K17" s="13" t="s">
        <v>2661</v>
      </c>
      <c r="L17" s="14" t="s">
        <v>2662</v>
      </c>
      <c r="M17" s="14" t="s">
        <v>41</v>
      </c>
      <c r="N17" s="14"/>
      <c r="O17" s="14" t="s">
        <v>2663</v>
      </c>
      <c r="P17" s="14" t="s">
        <v>41</v>
      </c>
      <c r="Q17" s="14"/>
      <c r="R17" s="14" t="s">
        <v>2606</v>
      </c>
    </row>
    <row r="18" customFormat="false" ht="35.05" hidden="false" customHeight="false" outlineLevel="0" collapsed="false">
      <c r="A18" s="12" t="s">
        <v>2656</v>
      </c>
      <c r="B18" s="12" t="s">
        <v>45</v>
      </c>
      <c r="C18" s="12" t="s">
        <v>164</v>
      </c>
      <c r="D18" s="13" t="s">
        <v>2657</v>
      </c>
      <c r="E18" s="13" t="s">
        <v>2658</v>
      </c>
      <c r="F18" s="13" t="s">
        <v>2659</v>
      </c>
      <c r="G18" s="13" t="s">
        <v>144</v>
      </c>
      <c r="H18" s="13"/>
      <c r="I18" s="13" t="s">
        <v>1681</v>
      </c>
      <c r="J18" s="13" t="s">
        <v>2664</v>
      </c>
      <c r="K18" s="13" t="s">
        <v>2661</v>
      </c>
      <c r="L18" s="14"/>
      <c r="M18" s="14" t="s">
        <v>44</v>
      </c>
      <c r="N18" s="14"/>
      <c r="O18" s="14" t="s">
        <v>2665</v>
      </c>
      <c r="P18" s="14" t="s">
        <v>41</v>
      </c>
      <c r="Q18" s="14"/>
      <c r="R18" s="14" t="s">
        <v>2606</v>
      </c>
    </row>
    <row r="19" customFormat="false" ht="23.85" hidden="false" customHeight="false" outlineLevel="0" collapsed="false">
      <c r="A19" s="12" t="s">
        <v>2666</v>
      </c>
      <c r="B19" s="12" t="s">
        <v>45</v>
      </c>
      <c r="C19" s="12" t="s">
        <v>142</v>
      </c>
      <c r="D19" s="13" t="s">
        <v>2667</v>
      </c>
      <c r="E19" s="13" t="s">
        <v>2668</v>
      </c>
      <c r="F19" s="13" t="s">
        <v>2669</v>
      </c>
      <c r="G19" s="13" t="s">
        <v>144</v>
      </c>
      <c r="H19" s="13"/>
      <c r="I19" s="13" t="s">
        <v>1636</v>
      </c>
      <c r="J19" s="13" t="s">
        <v>2670</v>
      </c>
      <c r="K19" s="13" t="s">
        <v>2671</v>
      </c>
      <c r="L19" s="14" t="s">
        <v>2672</v>
      </c>
      <c r="M19" s="14" t="s">
        <v>41</v>
      </c>
      <c r="N19" s="14"/>
      <c r="O19" s="14" t="s">
        <v>2672</v>
      </c>
      <c r="P19" s="14" t="s">
        <v>41</v>
      </c>
      <c r="Q19" s="14"/>
      <c r="R19" s="14" t="s">
        <v>2606</v>
      </c>
    </row>
    <row r="20" customFormat="false" ht="23.85" hidden="false" customHeight="false" outlineLevel="0" collapsed="false">
      <c r="A20" s="12" t="s">
        <v>2666</v>
      </c>
      <c r="B20" s="12" t="s">
        <v>45</v>
      </c>
      <c r="C20" s="12" t="s">
        <v>164</v>
      </c>
      <c r="D20" s="13" t="s">
        <v>2667</v>
      </c>
      <c r="E20" s="13" t="s">
        <v>2668</v>
      </c>
      <c r="F20" s="13" t="s">
        <v>2669</v>
      </c>
      <c r="G20" s="13" t="s">
        <v>144</v>
      </c>
      <c r="H20" s="13"/>
      <c r="I20" s="13" t="s">
        <v>1681</v>
      </c>
      <c r="J20" s="13" t="s">
        <v>2673</v>
      </c>
      <c r="K20" s="13" t="s">
        <v>2671</v>
      </c>
      <c r="L20" s="14"/>
      <c r="M20" s="14" t="s">
        <v>44</v>
      </c>
      <c r="N20" s="14"/>
      <c r="O20" s="14" t="s">
        <v>2674</v>
      </c>
      <c r="P20" s="14" t="s">
        <v>41</v>
      </c>
      <c r="Q20" s="14"/>
      <c r="R20" s="14" t="s">
        <v>2606</v>
      </c>
    </row>
    <row r="21" customFormat="false" ht="23.85" hidden="false" customHeight="false" outlineLevel="0" collapsed="false">
      <c r="A21" s="12" t="s">
        <v>2675</v>
      </c>
      <c r="B21" s="12" t="s">
        <v>45</v>
      </c>
      <c r="C21" s="12" t="s">
        <v>142</v>
      </c>
      <c r="D21" s="13" t="s">
        <v>2676</v>
      </c>
      <c r="E21" s="13" t="s">
        <v>2677</v>
      </c>
      <c r="F21" s="13" t="s">
        <v>2678</v>
      </c>
      <c r="G21" s="13" t="s">
        <v>144</v>
      </c>
      <c r="H21" s="13"/>
      <c r="I21" s="13" t="s">
        <v>1636</v>
      </c>
      <c r="J21" s="13" t="s">
        <v>2679</v>
      </c>
      <c r="K21" s="13" t="s">
        <v>2680</v>
      </c>
      <c r="L21" s="14" t="s">
        <v>2681</v>
      </c>
      <c r="M21" s="14" t="s">
        <v>41</v>
      </c>
      <c r="N21" s="14"/>
      <c r="O21" s="14" t="s">
        <v>2681</v>
      </c>
      <c r="P21" s="14" t="s">
        <v>41</v>
      </c>
      <c r="Q21" s="14"/>
      <c r="R21" s="14" t="s">
        <v>2606</v>
      </c>
    </row>
    <row r="22" customFormat="false" ht="23.85" hidden="false" customHeight="false" outlineLevel="0" collapsed="false">
      <c r="A22" s="12" t="s">
        <v>2675</v>
      </c>
      <c r="B22" s="12" t="s">
        <v>45</v>
      </c>
      <c r="C22" s="12" t="s">
        <v>164</v>
      </c>
      <c r="D22" s="13" t="s">
        <v>2676</v>
      </c>
      <c r="E22" s="13" t="s">
        <v>2677</v>
      </c>
      <c r="F22" s="13" t="s">
        <v>2678</v>
      </c>
      <c r="G22" s="13" t="s">
        <v>144</v>
      </c>
      <c r="H22" s="13"/>
      <c r="I22" s="13" t="s">
        <v>1681</v>
      </c>
      <c r="J22" s="13" t="s">
        <v>2682</v>
      </c>
      <c r="K22" s="13" t="s">
        <v>2680</v>
      </c>
      <c r="L22" s="14"/>
      <c r="M22" s="14" t="s">
        <v>44</v>
      </c>
      <c r="N22" s="14"/>
      <c r="O22" s="14" t="s">
        <v>2683</v>
      </c>
      <c r="P22" s="14" t="s">
        <v>41</v>
      </c>
      <c r="Q22" s="14"/>
      <c r="R22" s="14" t="s">
        <v>2606</v>
      </c>
    </row>
    <row r="23" customFormat="false" ht="35.05" hidden="false" customHeight="false" outlineLevel="0" collapsed="false">
      <c r="A23" s="12" t="s">
        <v>2684</v>
      </c>
      <c r="B23" s="12" t="s">
        <v>45</v>
      </c>
      <c r="C23" s="12" t="s">
        <v>142</v>
      </c>
      <c r="D23" s="13" t="s">
        <v>2685</v>
      </c>
      <c r="E23" s="13" t="s">
        <v>2686</v>
      </c>
      <c r="F23" s="13" t="s">
        <v>2687</v>
      </c>
      <c r="G23" s="13" t="s">
        <v>144</v>
      </c>
      <c r="H23" s="13"/>
      <c r="I23" s="13" t="s">
        <v>1636</v>
      </c>
      <c r="J23" s="13" t="s">
        <v>2688</v>
      </c>
      <c r="K23" s="13" t="s">
        <v>2689</v>
      </c>
      <c r="L23" s="14" t="s">
        <v>2690</v>
      </c>
      <c r="M23" s="14" t="s">
        <v>41</v>
      </c>
      <c r="N23" s="14"/>
      <c r="O23" s="14" t="s">
        <v>2691</v>
      </c>
      <c r="P23" s="14" t="s">
        <v>42</v>
      </c>
      <c r="Q23" s="14" t="s">
        <v>2692</v>
      </c>
      <c r="R23" s="14" t="s">
        <v>2606</v>
      </c>
    </row>
    <row r="24" customFormat="false" ht="35.05" hidden="false" customHeight="false" outlineLevel="0" collapsed="false">
      <c r="A24" s="12" t="s">
        <v>2684</v>
      </c>
      <c r="B24" s="12" t="s">
        <v>45</v>
      </c>
      <c r="C24" s="12" t="s">
        <v>164</v>
      </c>
      <c r="D24" s="13" t="s">
        <v>2685</v>
      </c>
      <c r="E24" s="13" t="s">
        <v>2686</v>
      </c>
      <c r="F24" s="13" t="s">
        <v>2687</v>
      </c>
      <c r="G24" s="13" t="s">
        <v>144</v>
      </c>
      <c r="H24" s="13"/>
      <c r="I24" s="13" t="s">
        <v>1681</v>
      </c>
      <c r="J24" s="13" t="s">
        <v>2693</v>
      </c>
      <c r="K24" s="13" t="s">
        <v>2689</v>
      </c>
      <c r="L24" s="14" t="s">
        <v>2694</v>
      </c>
      <c r="M24" s="14" t="s">
        <v>41</v>
      </c>
      <c r="N24" s="14"/>
      <c r="O24" s="14" t="s">
        <v>2691</v>
      </c>
      <c r="P24" s="14" t="s">
        <v>42</v>
      </c>
      <c r="Q24" s="14" t="s">
        <v>2695</v>
      </c>
      <c r="R24" s="14" t="s">
        <v>2606</v>
      </c>
    </row>
    <row r="25" customFormat="false" ht="46.25" hidden="false" customHeight="false" outlineLevel="0" collapsed="false">
      <c r="A25" s="12" t="s">
        <v>2696</v>
      </c>
      <c r="B25" s="12" t="s">
        <v>46</v>
      </c>
      <c r="C25" s="12" t="s">
        <v>142</v>
      </c>
      <c r="D25" s="13" t="s">
        <v>2697</v>
      </c>
      <c r="E25" s="13" t="s">
        <v>2698</v>
      </c>
      <c r="F25" s="13" t="s">
        <v>2699</v>
      </c>
      <c r="G25" s="13" t="s">
        <v>144</v>
      </c>
      <c r="H25" s="13"/>
      <c r="I25" s="13" t="s">
        <v>1636</v>
      </c>
      <c r="J25" s="13" t="s">
        <v>2700</v>
      </c>
      <c r="K25" s="13" t="s">
        <v>2701</v>
      </c>
      <c r="L25" s="14"/>
      <c r="M25" s="14" t="s">
        <v>44</v>
      </c>
      <c r="N25" s="14" t="s">
        <v>919</v>
      </c>
      <c r="O25" s="14" t="s">
        <v>2702</v>
      </c>
      <c r="P25" s="14" t="s">
        <v>41</v>
      </c>
      <c r="Q25" s="14"/>
      <c r="R25" s="14" t="s">
        <v>2606</v>
      </c>
    </row>
    <row r="26" customFormat="false" ht="46.25" hidden="false" customHeight="false" outlineLevel="0" collapsed="false">
      <c r="A26" s="12" t="s">
        <v>2696</v>
      </c>
      <c r="B26" s="12" t="s">
        <v>46</v>
      </c>
      <c r="C26" s="12" t="s">
        <v>164</v>
      </c>
      <c r="D26" s="13" t="s">
        <v>2697</v>
      </c>
      <c r="E26" s="13" t="s">
        <v>2698</v>
      </c>
      <c r="F26" s="13" t="s">
        <v>2699</v>
      </c>
      <c r="G26" s="13" t="s">
        <v>144</v>
      </c>
      <c r="H26" s="13"/>
      <c r="I26" s="13" t="s">
        <v>1681</v>
      </c>
      <c r="J26" s="13" t="s">
        <v>2703</v>
      </c>
      <c r="K26" s="13" t="s">
        <v>2701</v>
      </c>
      <c r="L26" s="14"/>
      <c r="M26" s="14" t="s">
        <v>44</v>
      </c>
      <c r="N26" s="14" t="s">
        <v>2654</v>
      </c>
      <c r="O26" s="14" t="s">
        <v>2704</v>
      </c>
      <c r="P26" s="14" t="s">
        <v>41</v>
      </c>
      <c r="Q26" s="14"/>
      <c r="R26" s="14" t="s">
        <v>2606</v>
      </c>
    </row>
    <row r="27" customFormat="false" ht="46.25" hidden="false" customHeight="false" outlineLevel="0" collapsed="false">
      <c r="A27" s="12" t="s">
        <v>2696</v>
      </c>
      <c r="B27" s="12" t="s">
        <v>46</v>
      </c>
      <c r="C27" s="12" t="s">
        <v>1396</v>
      </c>
      <c r="D27" s="13" t="s">
        <v>2697</v>
      </c>
      <c r="E27" s="13" t="s">
        <v>2698</v>
      </c>
      <c r="F27" s="13" t="s">
        <v>2699</v>
      </c>
      <c r="G27" s="13" t="s">
        <v>144</v>
      </c>
      <c r="H27" s="13"/>
      <c r="I27" s="13" t="s">
        <v>387</v>
      </c>
      <c r="J27" s="13"/>
      <c r="K27" s="13" t="s">
        <v>2701</v>
      </c>
      <c r="L27" s="14"/>
      <c r="M27" s="14" t="s">
        <v>43</v>
      </c>
      <c r="N27" s="14" t="s">
        <v>2705</v>
      </c>
      <c r="O27" s="14"/>
      <c r="P27" s="14"/>
      <c r="Q27" s="14"/>
      <c r="R27" s="14"/>
    </row>
    <row r="28" customFormat="false" ht="23.85" hidden="false" customHeight="false" outlineLevel="0" collapsed="false">
      <c r="A28" s="12" t="s">
        <v>2706</v>
      </c>
      <c r="B28" s="12" t="s">
        <v>46</v>
      </c>
      <c r="C28" s="12" t="s">
        <v>142</v>
      </c>
      <c r="D28" s="13" t="s">
        <v>2707</v>
      </c>
      <c r="E28" s="13" t="s">
        <v>2708</v>
      </c>
      <c r="F28" s="13" t="s">
        <v>2709</v>
      </c>
      <c r="G28" s="13" t="s">
        <v>144</v>
      </c>
      <c r="H28" s="13"/>
      <c r="I28" s="13" t="s">
        <v>1636</v>
      </c>
      <c r="J28" s="13" t="s">
        <v>2710</v>
      </c>
      <c r="K28" s="13" t="s">
        <v>2711</v>
      </c>
      <c r="L28" s="14" t="s">
        <v>2712</v>
      </c>
      <c r="M28" s="14" t="s">
        <v>43</v>
      </c>
      <c r="N28" s="14" t="s">
        <v>915</v>
      </c>
      <c r="O28" s="14" t="s">
        <v>2713</v>
      </c>
      <c r="P28" s="14" t="s">
        <v>41</v>
      </c>
      <c r="Q28" s="14"/>
      <c r="R28" s="14" t="s">
        <v>2606</v>
      </c>
    </row>
    <row r="29" customFormat="false" ht="23.85" hidden="false" customHeight="false" outlineLevel="0" collapsed="false">
      <c r="A29" s="12" t="s">
        <v>2714</v>
      </c>
      <c r="B29" s="12" t="s">
        <v>46</v>
      </c>
      <c r="C29" s="12" t="s">
        <v>142</v>
      </c>
      <c r="D29" s="13" t="s">
        <v>2715</v>
      </c>
      <c r="E29" s="13" t="s">
        <v>2716</v>
      </c>
      <c r="F29" s="13" t="s">
        <v>2717</v>
      </c>
      <c r="G29" s="13" t="s">
        <v>144</v>
      </c>
      <c r="H29" s="13"/>
      <c r="I29" s="13" t="s">
        <v>1681</v>
      </c>
      <c r="J29" s="13" t="s">
        <v>2718</v>
      </c>
      <c r="K29" s="13" t="s">
        <v>2719</v>
      </c>
      <c r="L29" s="14" t="s">
        <v>2064</v>
      </c>
      <c r="M29" s="14" t="s">
        <v>44</v>
      </c>
      <c r="N29" s="14" t="s">
        <v>2654</v>
      </c>
      <c r="O29" s="14" t="s">
        <v>2720</v>
      </c>
      <c r="P29" s="14" t="s">
        <v>41</v>
      </c>
      <c r="Q29" s="14"/>
      <c r="R29" s="14" t="s">
        <v>2606</v>
      </c>
    </row>
    <row r="30" customFormat="false" ht="35.05" hidden="false" customHeight="false" outlineLevel="0" collapsed="false">
      <c r="A30" s="12" t="s">
        <v>2721</v>
      </c>
      <c r="B30" s="12" t="s">
        <v>46</v>
      </c>
      <c r="C30" s="12" t="s">
        <v>142</v>
      </c>
      <c r="D30" s="13" t="s">
        <v>2722</v>
      </c>
      <c r="E30" s="13" t="s">
        <v>2723</v>
      </c>
      <c r="F30" s="13" t="s">
        <v>2724</v>
      </c>
      <c r="G30" s="13" t="s">
        <v>144</v>
      </c>
      <c r="H30" s="13"/>
      <c r="I30" s="13" t="s">
        <v>1636</v>
      </c>
      <c r="J30" s="13" t="s">
        <v>2725</v>
      </c>
      <c r="K30" s="13" t="s">
        <v>2726</v>
      </c>
      <c r="L30" s="14" t="s">
        <v>2727</v>
      </c>
      <c r="M30" s="14" t="s">
        <v>42</v>
      </c>
      <c r="N30" s="14" t="s">
        <v>2728</v>
      </c>
      <c r="O30" s="14" t="s">
        <v>2729</v>
      </c>
      <c r="P30" s="14" t="s">
        <v>41</v>
      </c>
      <c r="Q30" s="14"/>
      <c r="R30" s="14" t="s">
        <v>2606</v>
      </c>
    </row>
    <row r="31" customFormat="false" ht="35.05" hidden="false" customHeight="false" outlineLevel="0" collapsed="false">
      <c r="A31" s="12" t="s">
        <v>2721</v>
      </c>
      <c r="B31" s="12" t="s">
        <v>46</v>
      </c>
      <c r="C31" s="12" t="s">
        <v>164</v>
      </c>
      <c r="D31" s="13" t="s">
        <v>2722</v>
      </c>
      <c r="E31" s="13" t="s">
        <v>2723</v>
      </c>
      <c r="F31" s="13" t="s">
        <v>2724</v>
      </c>
      <c r="G31" s="13" t="s">
        <v>144</v>
      </c>
      <c r="H31" s="13"/>
      <c r="I31" s="13" t="s">
        <v>1681</v>
      </c>
      <c r="J31" s="13" t="s">
        <v>2730</v>
      </c>
      <c r="K31" s="13" t="s">
        <v>2726</v>
      </c>
      <c r="L31" s="14" t="s">
        <v>2727</v>
      </c>
      <c r="M31" s="14" t="s">
        <v>42</v>
      </c>
      <c r="N31" s="14" t="s">
        <v>2731</v>
      </c>
      <c r="O31" s="14" t="s">
        <v>2732</v>
      </c>
      <c r="P31" s="14" t="s">
        <v>41</v>
      </c>
      <c r="Q31" s="14"/>
      <c r="R31" s="14" t="s">
        <v>2606</v>
      </c>
    </row>
    <row r="32" customFormat="false" ht="35.05" hidden="false" customHeight="false" outlineLevel="0" collapsed="false">
      <c r="A32" s="12" t="s">
        <v>2733</v>
      </c>
      <c r="B32" s="12" t="s">
        <v>46</v>
      </c>
      <c r="C32" s="12" t="s">
        <v>142</v>
      </c>
      <c r="D32" s="13" t="s">
        <v>2734</v>
      </c>
      <c r="E32" s="13" t="s">
        <v>2735</v>
      </c>
      <c r="F32" s="13" t="s">
        <v>2736</v>
      </c>
      <c r="G32" s="13" t="s">
        <v>144</v>
      </c>
      <c r="H32" s="13"/>
      <c r="I32" s="13" t="s">
        <v>1636</v>
      </c>
      <c r="J32" s="13" t="s">
        <v>2737</v>
      </c>
      <c r="K32" s="13" t="s">
        <v>2738</v>
      </c>
      <c r="L32" s="14" t="s">
        <v>2739</v>
      </c>
      <c r="M32" s="14" t="s">
        <v>43</v>
      </c>
      <c r="N32" s="14" t="s">
        <v>2740</v>
      </c>
      <c r="O32" s="14" t="s">
        <v>2741</v>
      </c>
      <c r="P32" s="14" t="s">
        <v>41</v>
      </c>
      <c r="Q32" s="14"/>
      <c r="R32" s="14" t="s">
        <v>2606</v>
      </c>
    </row>
    <row r="33" customFormat="false" ht="35.05" hidden="false" customHeight="false" outlineLevel="0" collapsed="false">
      <c r="A33" s="12" t="s">
        <v>2733</v>
      </c>
      <c r="B33" s="12" t="s">
        <v>46</v>
      </c>
      <c r="C33" s="12" t="s">
        <v>164</v>
      </c>
      <c r="D33" s="13" t="s">
        <v>2734</v>
      </c>
      <c r="E33" s="13" t="s">
        <v>2735</v>
      </c>
      <c r="F33" s="13" t="s">
        <v>2736</v>
      </c>
      <c r="G33" s="13" t="s">
        <v>144</v>
      </c>
      <c r="H33" s="13"/>
      <c r="I33" s="13" t="s">
        <v>1681</v>
      </c>
      <c r="J33" s="13" t="s">
        <v>2742</v>
      </c>
      <c r="K33" s="13" t="s">
        <v>2738</v>
      </c>
      <c r="L33" s="14" t="s">
        <v>2743</v>
      </c>
      <c r="M33" s="14" t="s">
        <v>43</v>
      </c>
      <c r="N33" s="14" t="s">
        <v>2744</v>
      </c>
      <c r="O33" s="14" t="s">
        <v>2745</v>
      </c>
      <c r="P33" s="14" t="s">
        <v>41</v>
      </c>
      <c r="Q33" s="14"/>
      <c r="R33" s="14" t="s">
        <v>2606</v>
      </c>
    </row>
    <row r="34" customFormat="false" ht="35.05" hidden="false" customHeight="false" outlineLevel="0" collapsed="false">
      <c r="A34" s="12" t="s">
        <v>2746</v>
      </c>
      <c r="B34" s="12" t="s">
        <v>46</v>
      </c>
      <c r="C34" s="12" t="s">
        <v>142</v>
      </c>
      <c r="D34" s="13" t="s">
        <v>2747</v>
      </c>
      <c r="E34" s="13" t="s">
        <v>2748</v>
      </c>
      <c r="F34" s="13" t="s">
        <v>2749</v>
      </c>
      <c r="G34" s="13" t="s">
        <v>144</v>
      </c>
      <c r="H34" s="13"/>
      <c r="I34" s="13" t="s">
        <v>1636</v>
      </c>
      <c r="J34" s="13" t="s">
        <v>2750</v>
      </c>
      <c r="K34" s="13" t="s">
        <v>2751</v>
      </c>
      <c r="L34" s="14" t="s">
        <v>2752</v>
      </c>
      <c r="M34" s="14" t="s">
        <v>44</v>
      </c>
      <c r="N34" s="14" t="s">
        <v>2753</v>
      </c>
      <c r="O34" s="14" t="s">
        <v>2754</v>
      </c>
      <c r="P34" s="14" t="s">
        <v>41</v>
      </c>
      <c r="Q34" s="14"/>
      <c r="R34" s="14" t="s">
        <v>2606</v>
      </c>
    </row>
    <row r="35" customFormat="false" ht="35.05" hidden="false" customHeight="false" outlineLevel="0" collapsed="false">
      <c r="A35" s="12" t="s">
        <v>2746</v>
      </c>
      <c r="B35" s="12" t="s">
        <v>46</v>
      </c>
      <c r="C35" s="12" t="s">
        <v>164</v>
      </c>
      <c r="D35" s="13" t="s">
        <v>2747</v>
      </c>
      <c r="E35" s="13" t="s">
        <v>2748</v>
      </c>
      <c r="F35" s="13" t="s">
        <v>2749</v>
      </c>
      <c r="G35" s="13" t="s">
        <v>144</v>
      </c>
      <c r="H35" s="13"/>
      <c r="I35" s="13" t="s">
        <v>1681</v>
      </c>
      <c r="J35" s="13" t="s">
        <v>2755</v>
      </c>
      <c r="K35" s="13" t="s">
        <v>2751</v>
      </c>
      <c r="L35" s="14" t="s">
        <v>2752</v>
      </c>
      <c r="M35" s="14" t="s">
        <v>44</v>
      </c>
      <c r="N35" s="14" t="s">
        <v>2756</v>
      </c>
      <c r="O35" s="14" t="s">
        <v>2757</v>
      </c>
      <c r="P35" s="14" t="s">
        <v>41</v>
      </c>
      <c r="Q35" s="14"/>
      <c r="R35" s="14" t="s">
        <v>2606</v>
      </c>
    </row>
    <row r="36" customFormat="false" ht="23.85" hidden="false" customHeight="false" outlineLevel="0" collapsed="false">
      <c r="A36" s="12" t="s">
        <v>2758</v>
      </c>
      <c r="B36" s="12" t="s">
        <v>46</v>
      </c>
      <c r="C36" s="12" t="s">
        <v>142</v>
      </c>
      <c r="D36" s="13" t="s">
        <v>2759</v>
      </c>
      <c r="E36" s="13" t="s">
        <v>2760</v>
      </c>
      <c r="F36" s="13" t="s">
        <v>2761</v>
      </c>
      <c r="G36" s="13" t="s">
        <v>144</v>
      </c>
      <c r="H36" s="13"/>
      <c r="I36" s="13" t="s">
        <v>1636</v>
      </c>
      <c r="J36" s="13" t="s">
        <v>2762</v>
      </c>
      <c r="K36" s="13" t="s">
        <v>2763</v>
      </c>
      <c r="L36" s="14" t="s">
        <v>2764</v>
      </c>
      <c r="M36" s="14" t="s">
        <v>41</v>
      </c>
      <c r="N36" s="14"/>
      <c r="O36" s="14" t="s">
        <v>2764</v>
      </c>
      <c r="P36" s="14" t="s">
        <v>41</v>
      </c>
      <c r="Q36" s="14"/>
      <c r="R36" s="14" t="s">
        <v>2606</v>
      </c>
    </row>
    <row r="37" customFormat="false" ht="23.85" hidden="false" customHeight="false" outlineLevel="0" collapsed="false">
      <c r="A37" s="12" t="s">
        <v>2758</v>
      </c>
      <c r="B37" s="12" t="s">
        <v>46</v>
      </c>
      <c r="C37" s="12" t="s">
        <v>164</v>
      </c>
      <c r="D37" s="13" t="s">
        <v>2759</v>
      </c>
      <c r="E37" s="13" t="s">
        <v>2760</v>
      </c>
      <c r="F37" s="13" t="s">
        <v>2761</v>
      </c>
      <c r="G37" s="13" t="s">
        <v>144</v>
      </c>
      <c r="H37" s="13"/>
      <c r="I37" s="13" t="s">
        <v>1681</v>
      </c>
      <c r="J37" s="13" t="s">
        <v>2765</v>
      </c>
      <c r="K37" s="13" t="s">
        <v>2763</v>
      </c>
      <c r="L37" s="14"/>
      <c r="M37" s="14" t="s">
        <v>44</v>
      </c>
      <c r="N37" s="14"/>
      <c r="O37" s="14" t="s">
        <v>2766</v>
      </c>
      <c r="P37" s="14" t="s">
        <v>41</v>
      </c>
      <c r="Q37" s="14"/>
      <c r="R37" s="14" t="s">
        <v>2606</v>
      </c>
    </row>
    <row r="38" customFormat="false" ht="23.85" hidden="false" customHeight="false" outlineLevel="0" collapsed="false">
      <c r="A38" s="12" t="s">
        <v>2767</v>
      </c>
      <c r="B38" s="12" t="s">
        <v>46</v>
      </c>
      <c r="C38" s="12" t="s">
        <v>142</v>
      </c>
      <c r="D38" s="13" t="s">
        <v>2768</v>
      </c>
      <c r="E38" s="13" t="s">
        <v>2769</v>
      </c>
      <c r="F38" s="13" t="s">
        <v>2770</v>
      </c>
      <c r="G38" s="13" t="s">
        <v>144</v>
      </c>
      <c r="H38" s="13"/>
      <c r="I38" s="13" t="s">
        <v>1636</v>
      </c>
      <c r="J38" s="13" t="s">
        <v>2771</v>
      </c>
      <c r="K38" s="13" t="s">
        <v>2772</v>
      </c>
      <c r="L38" s="14" t="s">
        <v>2773</v>
      </c>
      <c r="M38" s="14" t="s">
        <v>41</v>
      </c>
      <c r="N38" s="14"/>
      <c r="O38" s="14" t="s">
        <v>2773</v>
      </c>
      <c r="P38" s="14" t="s">
        <v>41</v>
      </c>
      <c r="Q38" s="14"/>
      <c r="R38" s="14" t="s">
        <v>2606</v>
      </c>
    </row>
    <row r="39" customFormat="false" ht="23.85" hidden="false" customHeight="false" outlineLevel="0" collapsed="false">
      <c r="A39" s="12" t="s">
        <v>2767</v>
      </c>
      <c r="B39" s="12" t="s">
        <v>46</v>
      </c>
      <c r="C39" s="12" t="s">
        <v>164</v>
      </c>
      <c r="D39" s="13" t="s">
        <v>2768</v>
      </c>
      <c r="E39" s="13" t="s">
        <v>2769</v>
      </c>
      <c r="F39" s="13" t="s">
        <v>2770</v>
      </c>
      <c r="G39" s="13" t="s">
        <v>144</v>
      </c>
      <c r="H39" s="13"/>
      <c r="I39" s="13" t="s">
        <v>1681</v>
      </c>
      <c r="J39" s="13" t="s">
        <v>2774</v>
      </c>
      <c r="K39" s="13" t="s">
        <v>2772</v>
      </c>
      <c r="L39" s="14"/>
      <c r="M39" s="14" t="s">
        <v>44</v>
      </c>
      <c r="N39" s="14"/>
      <c r="O39" s="14" t="s">
        <v>2775</v>
      </c>
      <c r="P39" s="14" t="s">
        <v>41</v>
      </c>
      <c r="Q39" s="14"/>
      <c r="R39" s="14" t="s">
        <v>2606</v>
      </c>
    </row>
    <row r="40" customFormat="false" ht="23.85" hidden="false" customHeight="false" outlineLevel="0" collapsed="false">
      <c r="A40" s="12" t="s">
        <v>2776</v>
      </c>
      <c r="B40" s="12" t="s">
        <v>46</v>
      </c>
      <c r="C40" s="12" t="s">
        <v>142</v>
      </c>
      <c r="D40" s="13" t="s">
        <v>2777</v>
      </c>
      <c r="E40" s="13" t="s">
        <v>2778</v>
      </c>
      <c r="F40" s="13" t="s">
        <v>2779</v>
      </c>
      <c r="G40" s="13" t="s">
        <v>144</v>
      </c>
      <c r="H40" s="13"/>
      <c r="I40" s="13" t="s">
        <v>1636</v>
      </c>
      <c r="J40" s="13" t="s">
        <v>2780</v>
      </c>
      <c r="K40" s="13" t="s">
        <v>2781</v>
      </c>
      <c r="L40" s="14" t="s">
        <v>2782</v>
      </c>
      <c r="M40" s="14" t="s">
        <v>41</v>
      </c>
      <c r="N40" s="14"/>
      <c r="O40" s="14" t="s">
        <v>2782</v>
      </c>
      <c r="P40" s="14" t="s">
        <v>41</v>
      </c>
      <c r="Q40" s="14"/>
      <c r="R40" s="14" t="s">
        <v>2606</v>
      </c>
    </row>
    <row r="41" customFormat="false" ht="23.85" hidden="false" customHeight="false" outlineLevel="0" collapsed="false">
      <c r="A41" s="12" t="s">
        <v>2776</v>
      </c>
      <c r="B41" s="12" t="s">
        <v>46</v>
      </c>
      <c r="C41" s="12" t="s">
        <v>164</v>
      </c>
      <c r="D41" s="13" t="s">
        <v>2777</v>
      </c>
      <c r="E41" s="13" t="s">
        <v>2778</v>
      </c>
      <c r="F41" s="13" t="s">
        <v>2779</v>
      </c>
      <c r="G41" s="13" t="s">
        <v>144</v>
      </c>
      <c r="H41" s="13"/>
      <c r="I41" s="13" t="s">
        <v>1681</v>
      </c>
      <c r="J41" s="13" t="s">
        <v>2783</v>
      </c>
      <c r="K41" s="13" t="s">
        <v>2781</v>
      </c>
      <c r="L41" s="14"/>
      <c r="M41" s="14" t="s">
        <v>44</v>
      </c>
      <c r="N41" s="14" t="s">
        <v>2654</v>
      </c>
      <c r="O41" s="14" t="s">
        <v>2784</v>
      </c>
      <c r="P41" s="14" t="s">
        <v>41</v>
      </c>
      <c r="Q41" s="14"/>
      <c r="R41" s="14" t="s">
        <v>2606</v>
      </c>
    </row>
    <row r="42" customFormat="false" ht="23.85" hidden="false" customHeight="false" outlineLevel="0" collapsed="false">
      <c r="A42" s="12" t="s">
        <v>2776</v>
      </c>
      <c r="B42" s="12" t="s">
        <v>46</v>
      </c>
      <c r="C42" s="12" t="s">
        <v>386</v>
      </c>
      <c r="D42" s="13" t="s">
        <v>2777</v>
      </c>
      <c r="E42" s="13" t="s">
        <v>2778</v>
      </c>
      <c r="F42" s="13" t="s">
        <v>2779</v>
      </c>
      <c r="G42" s="13" t="s">
        <v>144</v>
      </c>
      <c r="H42" s="13"/>
      <c r="I42" s="13" t="s">
        <v>1636</v>
      </c>
      <c r="J42" s="13" t="s">
        <v>2785</v>
      </c>
      <c r="K42" s="13" t="s">
        <v>2781</v>
      </c>
      <c r="L42" s="14" t="s">
        <v>2786</v>
      </c>
      <c r="M42" s="14" t="s">
        <v>41</v>
      </c>
      <c r="N42" s="14"/>
      <c r="O42" s="14" t="s">
        <v>2786</v>
      </c>
      <c r="P42" s="14" t="s">
        <v>41</v>
      </c>
      <c r="Q42" s="14"/>
      <c r="R42" s="14" t="s">
        <v>2606</v>
      </c>
    </row>
    <row r="43" customFormat="false" ht="23.85" hidden="false" customHeight="false" outlineLevel="0" collapsed="false">
      <c r="A43" s="12" t="s">
        <v>2776</v>
      </c>
      <c r="B43" s="12" t="s">
        <v>46</v>
      </c>
      <c r="C43" s="12" t="s">
        <v>409</v>
      </c>
      <c r="D43" s="13" t="s">
        <v>2777</v>
      </c>
      <c r="E43" s="13" t="s">
        <v>2778</v>
      </c>
      <c r="F43" s="13" t="s">
        <v>2779</v>
      </c>
      <c r="G43" s="13" t="s">
        <v>144</v>
      </c>
      <c r="H43" s="13"/>
      <c r="I43" s="13" t="s">
        <v>1681</v>
      </c>
      <c r="J43" s="13" t="s">
        <v>2787</v>
      </c>
      <c r="K43" s="13" t="s">
        <v>2781</v>
      </c>
      <c r="L43" s="14"/>
      <c r="M43" s="14" t="s">
        <v>44</v>
      </c>
      <c r="N43" s="14"/>
      <c r="O43" s="14" t="s">
        <v>2788</v>
      </c>
      <c r="P43" s="14" t="s">
        <v>41</v>
      </c>
      <c r="Q43" s="14"/>
      <c r="R43" s="14" t="s">
        <v>2606</v>
      </c>
    </row>
    <row r="44" customFormat="false" ht="35.05" hidden="false" customHeight="false" outlineLevel="0" collapsed="false">
      <c r="A44" s="12" t="s">
        <v>2789</v>
      </c>
      <c r="B44" s="12" t="s">
        <v>46</v>
      </c>
      <c r="C44" s="12" t="s">
        <v>142</v>
      </c>
      <c r="D44" s="13" t="s">
        <v>2790</v>
      </c>
      <c r="E44" s="13" t="s">
        <v>2791</v>
      </c>
      <c r="F44" s="13" t="s">
        <v>2792</v>
      </c>
      <c r="G44" s="13" t="s">
        <v>144</v>
      </c>
      <c r="H44" s="13"/>
      <c r="I44" s="13" t="s">
        <v>1636</v>
      </c>
      <c r="J44" s="13" t="s">
        <v>2793</v>
      </c>
      <c r="K44" s="13" t="s">
        <v>2794</v>
      </c>
      <c r="L44" s="14" t="s">
        <v>2795</v>
      </c>
      <c r="M44" s="14" t="s">
        <v>41</v>
      </c>
      <c r="N44" s="14"/>
      <c r="O44" s="14" t="s">
        <v>2795</v>
      </c>
      <c r="P44" s="14" t="s">
        <v>41</v>
      </c>
      <c r="Q44" s="14"/>
      <c r="R44" s="14" t="s">
        <v>2606</v>
      </c>
    </row>
    <row r="45" customFormat="false" ht="23.85" hidden="false" customHeight="false" outlineLevel="0" collapsed="false">
      <c r="A45" s="12" t="s">
        <v>2789</v>
      </c>
      <c r="B45" s="12" t="s">
        <v>46</v>
      </c>
      <c r="C45" s="12" t="s">
        <v>164</v>
      </c>
      <c r="D45" s="13" t="s">
        <v>2790</v>
      </c>
      <c r="E45" s="13" t="s">
        <v>2791</v>
      </c>
      <c r="F45" s="13" t="s">
        <v>2792</v>
      </c>
      <c r="G45" s="13" t="s">
        <v>144</v>
      </c>
      <c r="H45" s="13"/>
      <c r="I45" s="13" t="s">
        <v>1681</v>
      </c>
      <c r="J45" s="13" t="s">
        <v>2796</v>
      </c>
      <c r="K45" s="13" t="s">
        <v>2794</v>
      </c>
      <c r="L45" s="14" t="s">
        <v>2797</v>
      </c>
      <c r="M45" s="14" t="s">
        <v>41</v>
      </c>
      <c r="N45" s="14"/>
      <c r="O45" s="14" t="s">
        <v>2797</v>
      </c>
      <c r="P45" s="14" t="s">
        <v>41</v>
      </c>
      <c r="Q45" s="14"/>
      <c r="R45" s="14" t="s">
        <v>2606</v>
      </c>
    </row>
    <row r="46" customFormat="false" ht="23.85" hidden="false" customHeight="false" outlineLevel="0" collapsed="false">
      <c r="A46" s="12" t="s">
        <v>2798</v>
      </c>
      <c r="B46" s="12" t="s">
        <v>47</v>
      </c>
      <c r="C46" s="12" t="s">
        <v>142</v>
      </c>
      <c r="D46" s="13" t="s">
        <v>2799</v>
      </c>
      <c r="E46" s="13" t="s">
        <v>2800</v>
      </c>
      <c r="F46" s="13" t="s">
        <v>2801</v>
      </c>
      <c r="G46" s="13" t="s">
        <v>206</v>
      </c>
      <c r="H46" s="13"/>
      <c r="I46" s="13" t="s">
        <v>387</v>
      </c>
      <c r="J46" s="13" t="s">
        <v>2802</v>
      </c>
      <c r="K46" s="13" t="s">
        <v>2803</v>
      </c>
      <c r="L46" s="14" t="s">
        <v>2804</v>
      </c>
      <c r="M46" s="14" t="s">
        <v>41</v>
      </c>
      <c r="N46" s="14"/>
      <c r="O46" s="14" t="s">
        <v>2804</v>
      </c>
      <c r="P46" s="14" t="s">
        <v>41</v>
      </c>
      <c r="Q46" s="14"/>
      <c r="R46" s="14" t="s">
        <v>2606</v>
      </c>
    </row>
    <row r="47" customFormat="false" ht="23.85" hidden="false" customHeight="false" outlineLevel="0" collapsed="false">
      <c r="A47" s="12" t="s">
        <v>2805</v>
      </c>
      <c r="B47" s="12" t="s">
        <v>47</v>
      </c>
      <c r="C47" s="12" t="s">
        <v>142</v>
      </c>
      <c r="D47" s="13" t="s">
        <v>2806</v>
      </c>
      <c r="E47" s="13" t="s">
        <v>2807</v>
      </c>
      <c r="F47" s="13" t="s">
        <v>2808</v>
      </c>
      <c r="G47" s="13" t="s">
        <v>178</v>
      </c>
      <c r="H47" s="13" t="s">
        <v>591</v>
      </c>
      <c r="I47" s="13" t="s">
        <v>1460</v>
      </c>
      <c r="J47" s="13"/>
      <c r="K47" s="13" t="s">
        <v>1911</v>
      </c>
      <c r="L47" s="14" t="s">
        <v>1471</v>
      </c>
      <c r="M47" s="14" t="s">
        <v>41</v>
      </c>
      <c r="N47" s="14"/>
      <c r="O47" s="14" t="s">
        <v>1471</v>
      </c>
      <c r="P47" s="14" t="s">
        <v>41</v>
      </c>
      <c r="Q47" s="14"/>
      <c r="R47" s="14" t="s">
        <v>2606</v>
      </c>
    </row>
    <row r="48" customFormat="false" ht="23.85" hidden="false" customHeight="false" outlineLevel="0" collapsed="false">
      <c r="A48" s="12" t="s">
        <v>2809</v>
      </c>
      <c r="B48" s="12" t="s">
        <v>47</v>
      </c>
      <c r="C48" s="12" t="s">
        <v>142</v>
      </c>
      <c r="D48" s="13" t="s">
        <v>2810</v>
      </c>
      <c r="E48" s="13" t="s">
        <v>2811</v>
      </c>
      <c r="F48" s="13" t="s">
        <v>2812</v>
      </c>
      <c r="G48" s="13" t="s">
        <v>206</v>
      </c>
      <c r="H48" s="13"/>
      <c r="I48" s="13" t="s">
        <v>387</v>
      </c>
      <c r="J48" s="13" t="s">
        <v>2813</v>
      </c>
      <c r="K48" s="13" t="s">
        <v>2814</v>
      </c>
      <c r="L48" s="14" t="s">
        <v>2815</v>
      </c>
      <c r="M48" s="14" t="s">
        <v>41</v>
      </c>
      <c r="N48" s="14"/>
      <c r="O48" s="14" t="s">
        <v>2815</v>
      </c>
      <c r="P48" s="14" t="s">
        <v>41</v>
      </c>
      <c r="Q48" s="14"/>
      <c r="R48" s="14" t="s">
        <v>2606</v>
      </c>
    </row>
    <row r="49" customFormat="false" ht="23.85" hidden="false" customHeight="false" outlineLevel="0" collapsed="false">
      <c r="A49" s="12" t="s">
        <v>2816</v>
      </c>
      <c r="B49" s="12" t="s">
        <v>47</v>
      </c>
      <c r="C49" s="12" t="s">
        <v>142</v>
      </c>
      <c r="D49" s="13" t="s">
        <v>2817</v>
      </c>
      <c r="E49" s="13" t="s">
        <v>2818</v>
      </c>
      <c r="F49" s="13" t="s">
        <v>2819</v>
      </c>
      <c r="G49" s="13" t="s">
        <v>144</v>
      </c>
      <c r="H49" s="13"/>
      <c r="I49" s="13" t="s">
        <v>1636</v>
      </c>
      <c r="J49" s="13" t="s">
        <v>2820</v>
      </c>
      <c r="K49" s="13" t="s">
        <v>2821</v>
      </c>
      <c r="L49" s="14" t="s">
        <v>2822</v>
      </c>
      <c r="M49" s="14" t="s">
        <v>43</v>
      </c>
      <c r="N49" s="14" t="s">
        <v>2823</v>
      </c>
      <c r="O49" s="14" t="s">
        <v>2824</v>
      </c>
      <c r="P49" s="14" t="s">
        <v>41</v>
      </c>
      <c r="Q49" s="14"/>
      <c r="R49" s="14" t="s">
        <v>2606</v>
      </c>
    </row>
    <row r="50" customFormat="false" ht="23.85" hidden="false" customHeight="false" outlineLevel="0" collapsed="false">
      <c r="A50" s="12" t="s">
        <v>2816</v>
      </c>
      <c r="B50" s="12" t="s">
        <v>47</v>
      </c>
      <c r="C50" s="12" t="s">
        <v>164</v>
      </c>
      <c r="D50" s="13" t="s">
        <v>2817</v>
      </c>
      <c r="E50" s="13" t="s">
        <v>2818</v>
      </c>
      <c r="F50" s="13" t="s">
        <v>2819</v>
      </c>
      <c r="G50" s="13" t="s">
        <v>144</v>
      </c>
      <c r="H50" s="13"/>
      <c r="I50" s="13" t="s">
        <v>1681</v>
      </c>
      <c r="J50" s="13" t="s">
        <v>2825</v>
      </c>
      <c r="K50" s="13" t="s">
        <v>2821</v>
      </c>
      <c r="L50" s="14"/>
      <c r="M50" s="14" t="s">
        <v>44</v>
      </c>
      <c r="N50" s="14" t="s">
        <v>2654</v>
      </c>
      <c r="O50" s="14" t="s">
        <v>2826</v>
      </c>
      <c r="P50" s="14" t="s">
        <v>41</v>
      </c>
      <c r="Q50" s="14"/>
      <c r="R50" s="14" t="s">
        <v>2606</v>
      </c>
    </row>
    <row r="51" customFormat="false" ht="23.85" hidden="false" customHeight="false" outlineLevel="0" collapsed="false">
      <c r="A51" s="12" t="s">
        <v>2816</v>
      </c>
      <c r="B51" s="12" t="s">
        <v>47</v>
      </c>
      <c r="C51" s="12" t="s">
        <v>1396</v>
      </c>
      <c r="D51" s="13" t="s">
        <v>2817</v>
      </c>
      <c r="E51" s="13" t="s">
        <v>2818</v>
      </c>
      <c r="F51" s="13" t="s">
        <v>2819</v>
      </c>
      <c r="G51" s="13" t="s">
        <v>144</v>
      </c>
      <c r="H51" s="13"/>
      <c r="I51" s="13" t="s">
        <v>387</v>
      </c>
      <c r="J51" s="13"/>
      <c r="K51" s="13" t="s">
        <v>2821</v>
      </c>
      <c r="L51" s="14"/>
      <c r="M51" s="14" t="s">
        <v>43</v>
      </c>
      <c r="N51" s="14" t="s">
        <v>2827</v>
      </c>
      <c r="O51" s="14"/>
      <c r="P51" s="14"/>
      <c r="Q51" s="14"/>
      <c r="R51" s="14"/>
    </row>
    <row r="52" customFormat="false" ht="23.85" hidden="false" customHeight="false" outlineLevel="0" collapsed="false">
      <c r="A52" s="12" t="s">
        <v>2828</v>
      </c>
      <c r="B52" s="12" t="s">
        <v>47</v>
      </c>
      <c r="C52" s="12" t="s">
        <v>142</v>
      </c>
      <c r="D52" s="13" t="s">
        <v>2829</v>
      </c>
      <c r="E52" s="13" t="s">
        <v>2830</v>
      </c>
      <c r="F52" s="13" t="s">
        <v>2831</v>
      </c>
      <c r="G52" s="13" t="s">
        <v>178</v>
      </c>
      <c r="H52" s="13" t="s">
        <v>591</v>
      </c>
      <c r="I52" s="13" t="s">
        <v>1460</v>
      </c>
      <c r="J52" s="13"/>
      <c r="K52" s="13" t="s">
        <v>1461</v>
      </c>
      <c r="L52" s="14" t="s">
        <v>2364</v>
      </c>
      <c r="M52" s="14" t="s">
        <v>41</v>
      </c>
      <c r="N52" s="14"/>
      <c r="O52" s="14" t="s">
        <v>2364</v>
      </c>
      <c r="P52" s="14" t="s">
        <v>41</v>
      </c>
      <c r="Q52" s="14"/>
      <c r="R52" s="14" t="s">
        <v>2606</v>
      </c>
    </row>
    <row r="53" customFormat="false" ht="35.05" hidden="false" customHeight="false" outlineLevel="0" collapsed="false">
      <c r="A53" s="12" t="s">
        <v>2832</v>
      </c>
      <c r="B53" s="12" t="s">
        <v>47</v>
      </c>
      <c r="C53" s="12" t="s">
        <v>142</v>
      </c>
      <c r="D53" s="13" t="s">
        <v>2833</v>
      </c>
      <c r="E53" s="13" t="s">
        <v>2834</v>
      </c>
      <c r="F53" s="13" t="s">
        <v>2835</v>
      </c>
      <c r="G53" s="13" t="s">
        <v>206</v>
      </c>
      <c r="H53" s="13"/>
      <c r="I53" s="13" t="s">
        <v>387</v>
      </c>
      <c r="J53" s="13" t="s">
        <v>2836</v>
      </c>
      <c r="K53" s="13" t="s">
        <v>2837</v>
      </c>
      <c r="L53" s="14" t="s">
        <v>2838</v>
      </c>
      <c r="M53" s="14" t="s">
        <v>43</v>
      </c>
      <c r="N53" s="14" t="s">
        <v>2839</v>
      </c>
      <c r="O53" s="14" t="s">
        <v>1512</v>
      </c>
      <c r="P53" s="14" t="s">
        <v>42</v>
      </c>
      <c r="Q53" s="14" t="s">
        <v>2840</v>
      </c>
      <c r="R53" s="14" t="s">
        <v>2606</v>
      </c>
    </row>
    <row r="54" customFormat="false" ht="15" hidden="false" customHeight="false" outlineLevel="0" collapsed="false">
      <c r="A54" s="12" t="s">
        <v>2841</v>
      </c>
      <c r="B54" s="12" t="s">
        <v>47</v>
      </c>
      <c r="C54" s="12" t="s">
        <v>142</v>
      </c>
      <c r="D54" s="13" t="s">
        <v>2842</v>
      </c>
      <c r="E54" s="13" t="s">
        <v>2843</v>
      </c>
      <c r="F54" s="13" t="s">
        <v>2844</v>
      </c>
      <c r="G54" s="13" t="s">
        <v>178</v>
      </c>
      <c r="H54" s="13" t="s">
        <v>591</v>
      </c>
      <c r="I54" s="13" t="s">
        <v>1460</v>
      </c>
      <c r="J54" s="13"/>
      <c r="K54" s="13" t="s">
        <v>2845</v>
      </c>
      <c r="L54" s="14" t="s">
        <v>1471</v>
      </c>
      <c r="M54" s="14" t="s">
        <v>41</v>
      </c>
      <c r="N54" s="14"/>
      <c r="O54" s="14" t="s">
        <v>1471</v>
      </c>
      <c r="P54" s="14" t="s">
        <v>41</v>
      </c>
      <c r="Q54" s="14"/>
      <c r="R54" s="14" t="s">
        <v>2606</v>
      </c>
    </row>
    <row r="55" customFormat="false" ht="23.85" hidden="false" customHeight="false" outlineLevel="0" collapsed="false">
      <c r="A55" s="12" t="s">
        <v>2846</v>
      </c>
      <c r="B55" s="12" t="s">
        <v>47</v>
      </c>
      <c r="C55" s="12" t="s">
        <v>142</v>
      </c>
      <c r="D55" s="13" t="s">
        <v>2847</v>
      </c>
      <c r="E55" s="13" t="s">
        <v>2848</v>
      </c>
      <c r="F55" s="13" t="s">
        <v>2849</v>
      </c>
      <c r="G55" s="13" t="s">
        <v>206</v>
      </c>
      <c r="H55" s="13"/>
      <c r="I55" s="13" t="s">
        <v>387</v>
      </c>
      <c r="J55" s="13" t="s">
        <v>2802</v>
      </c>
      <c r="K55" s="13" t="s">
        <v>2850</v>
      </c>
      <c r="L55" s="14" t="s">
        <v>1471</v>
      </c>
      <c r="M55" s="14" t="s">
        <v>44</v>
      </c>
      <c r="N55" s="14" t="s">
        <v>471</v>
      </c>
      <c r="O55" s="14" t="s">
        <v>1471</v>
      </c>
      <c r="P55" s="14" t="s">
        <v>44</v>
      </c>
      <c r="Q55" s="14" t="s">
        <v>471</v>
      </c>
      <c r="R55" s="14" t="s">
        <v>2606</v>
      </c>
    </row>
    <row r="56" customFormat="false" ht="23.85" hidden="false" customHeight="false" outlineLevel="0" collapsed="false">
      <c r="A56" s="12" t="s">
        <v>2851</v>
      </c>
      <c r="B56" s="12" t="s">
        <v>47</v>
      </c>
      <c r="C56" s="12" t="s">
        <v>142</v>
      </c>
      <c r="D56" s="13" t="s">
        <v>2852</v>
      </c>
      <c r="E56" s="13" t="s">
        <v>2853</v>
      </c>
      <c r="F56" s="13" t="s">
        <v>2852</v>
      </c>
      <c r="G56" s="13" t="s">
        <v>144</v>
      </c>
      <c r="H56" s="13"/>
      <c r="I56" s="13" t="s">
        <v>1636</v>
      </c>
      <c r="J56" s="13" t="s">
        <v>2854</v>
      </c>
      <c r="K56" s="13" t="s">
        <v>2855</v>
      </c>
      <c r="L56" s="14" t="s">
        <v>2856</v>
      </c>
      <c r="M56" s="14" t="s">
        <v>41</v>
      </c>
      <c r="N56" s="14"/>
      <c r="O56" s="14" t="s">
        <v>2856</v>
      </c>
      <c r="P56" s="14" t="s">
        <v>41</v>
      </c>
      <c r="Q56" s="14"/>
      <c r="R56" s="14" t="s">
        <v>2606</v>
      </c>
    </row>
    <row r="57" customFormat="false" ht="23.85" hidden="false" customHeight="false" outlineLevel="0" collapsed="false">
      <c r="A57" s="12" t="s">
        <v>2851</v>
      </c>
      <c r="B57" s="12" t="s">
        <v>47</v>
      </c>
      <c r="C57" s="12" t="s">
        <v>164</v>
      </c>
      <c r="D57" s="13" t="s">
        <v>2852</v>
      </c>
      <c r="E57" s="13" t="s">
        <v>2853</v>
      </c>
      <c r="F57" s="13" t="s">
        <v>2852</v>
      </c>
      <c r="G57" s="13" t="s">
        <v>144</v>
      </c>
      <c r="H57" s="13"/>
      <c r="I57" s="13" t="s">
        <v>1681</v>
      </c>
      <c r="J57" s="13" t="s">
        <v>2718</v>
      </c>
      <c r="K57" s="13" t="s">
        <v>2855</v>
      </c>
      <c r="L57" s="14"/>
      <c r="M57" s="14" t="s">
        <v>44</v>
      </c>
      <c r="N57" s="14"/>
      <c r="O57" s="14" t="s">
        <v>2720</v>
      </c>
      <c r="P57" s="14" t="s">
        <v>41</v>
      </c>
      <c r="Q57" s="14"/>
      <c r="R57" s="14" t="s">
        <v>2606</v>
      </c>
    </row>
    <row r="58" customFormat="false" ht="35.05" hidden="false" customHeight="false" outlineLevel="0" collapsed="false">
      <c r="A58" s="12" t="s">
        <v>2857</v>
      </c>
      <c r="B58" s="12" t="s">
        <v>47</v>
      </c>
      <c r="C58" s="12" t="s">
        <v>142</v>
      </c>
      <c r="D58" s="13" t="s">
        <v>2858</v>
      </c>
      <c r="E58" s="13" t="s">
        <v>2859</v>
      </c>
      <c r="F58" s="13" t="s">
        <v>2860</v>
      </c>
      <c r="G58" s="13" t="s">
        <v>144</v>
      </c>
      <c r="H58" s="13"/>
      <c r="I58" s="13" t="s">
        <v>1628</v>
      </c>
      <c r="J58" s="13" t="s">
        <v>2861</v>
      </c>
      <c r="K58" s="13" t="s">
        <v>2862</v>
      </c>
      <c r="L58" s="14"/>
      <c r="M58" s="14" t="s">
        <v>44</v>
      </c>
      <c r="N58" s="14" t="s">
        <v>464</v>
      </c>
      <c r="O58" s="14" t="s">
        <v>2863</v>
      </c>
      <c r="P58" s="14" t="s">
        <v>41</v>
      </c>
      <c r="Q58" s="14"/>
      <c r="R58" s="14" t="s">
        <v>2606</v>
      </c>
    </row>
    <row r="59" customFormat="false" ht="23.85" hidden="false" customHeight="false" outlineLevel="0" collapsed="false">
      <c r="A59" s="12" t="s">
        <v>2857</v>
      </c>
      <c r="B59" s="12" t="s">
        <v>47</v>
      </c>
      <c r="C59" s="12" t="s">
        <v>1396</v>
      </c>
      <c r="D59" s="13" t="s">
        <v>2858</v>
      </c>
      <c r="E59" s="13" t="s">
        <v>2859</v>
      </c>
      <c r="F59" s="13" t="s">
        <v>2860</v>
      </c>
      <c r="G59" s="13" t="s">
        <v>144</v>
      </c>
      <c r="H59" s="13"/>
      <c r="I59" s="13" t="s">
        <v>387</v>
      </c>
      <c r="J59" s="13"/>
      <c r="K59" s="13" t="s">
        <v>2862</v>
      </c>
      <c r="L59" s="14"/>
      <c r="M59" s="14" t="s">
        <v>43</v>
      </c>
      <c r="N59" s="14" t="s">
        <v>2864</v>
      </c>
      <c r="O59" s="14"/>
      <c r="P59" s="14"/>
      <c r="Q59" s="14"/>
      <c r="R59" s="14"/>
    </row>
    <row r="60" customFormat="false" ht="23.85" hidden="false" customHeight="false" outlineLevel="0" collapsed="false">
      <c r="A60" s="12" t="s">
        <v>2865</v>
      </c>
      <c r="B60" s="12" t="s">
        <v>48</v>
      </c>
      <c r="C60" s="12" t="s">
        <v>142</v>
      </c>
      <c r="D60" s="13" t="s">
        <v>2866</v>
      </c>
      <c r="E60" s="13" t="s">
        <v>2867</v>
      </c>
      <c r="F60" s="13" t="s">
        <v>2868</v>
      </c>
      <c r="G60" s="13" t="s">
        <v>144</v>
      </c>
      <c r="H60" s="13"/>
      <c r="I60" s="13" t="s">
        <v>1636</v>
      </c>
      <c r="J60" s="13" t="s">
        <v>2869</v>
      </c>
      <c r="K60" s="13" t="s">
        <v>2870</v>
      </c>
      <c r="L60" s="14" t="s">
        <v>2871</v>
      </c>
      <c r="M60" s="14" t="s">
        <v>41</v>
      </c>
      <c r="N60" s="14"/>
      <c r="O60" s="14" t="s">
        <v>2871</v>
      </c>
      <c r="P60" s="14" t="s">
        <v>41</v>
      </c>
      <c r="Q60" s="14"/>
      <c r="R60" s="14" t="s">
        <v>2606</v>
      </c>
    </row>
    <row r="61" customFormat="false" ht="23.85" hidden="false" customHeight="false" outlineLevel="0" collapsed="false">
      <c r="A61" s="12" t="s">
        <v>2865</v>
      </c>
      <c r="B61" s="12" t="s">
        <v>48</v>
      </c>
      <c r="C61" s="12" t="s">
        <v>164</v>
      </c>
      <c r="D61" s="13" t="s">
        <v>2866</v>
      </c>
      <c r="E61" s="13" t="s">
        <v>2867</v>
      </c>
      <c r="F61" s="13" t="s">
        <v>2868</v>
      </c>
      <c r="G61" s="13" t="s">
        <v>144</v>
      </c>
      <c r="H61" s="13"/>
      <c r="I61" s="13" t="s">
        <v>1681</v>
      </c>
      <c r="J61" s="13" t="s">
        <v>2872</v>
      </c>
      <c r="K61" s="13" t="s">
        <v>2870</v>
      </c>
      <c r="L61" s="14"/>
      <c r="M61" s="14" t="s">
        <v>44</v>
      </c>
      <c r="N61" s="14"/>
      <c r="O61" s="14" t="s">
        <v>2873</v>
      </c>
      <c r="P61" s="14" t="s">
        <v>41</v>
      </c>
      <c r="Q61" s="14"/>
      <c r="R61" s="14" t="s">
        <v>2606</v>
      </c>
    </row>
    <row r="62" customFormat="false" ht="23.85" hidden="false" customHeight="false" outlineLevel="0" collapsed="false">
      <c r="A62" s="12" t="s">
        <v>2874</v>
      </c>
      <c r="B62" s="12" t="s">
        <v>48</v>
      </c>
      <c r="C62" s="12" t="s">
        <v>142</v>
      </c>
      <c r="D62" s="13" t="s">
        <v>2875</v>
      </c>
      <c r="E62" s="13" t="s">
        <v>2876</v>
      </c>
      <c r="F62" s="13" t="s">
        <v>2877</v>
      </c>
      <c r="G62" s="13" t="s">
        <v>144</v>
      </c>
      <c r="H62" s="13"/>
      <c r="I62" s="13" t="s">
        <v>1636</v>
      </c>
      <c r="J62" s="13" t="s">
        <v>2878</v>
      </c>
      <c r="K62" s="13" t="s">
        <v>2879</v>
      </c>
      <c r="L62" s="14" t="s">
        <v>2880</v>
      </c>
      <c r="M62" s="14" t="s">
        <v>41</v>
      </c>
      <c r="N62" s="14"/>
      <c r="O62" s="14" t="s">
        <v>2880</v>
      </c>
      <c r="P62" s="14" t="s">
        <v>41</v>
      </c>
      <c r="Q62" s="14"/>
      <c r="R62" s="14" t="s">
        <v>2606</v>
      </c>
    </row>
    <row r="63" customFormat="false" ht="23.85" hidden="false" customHeight="false" outlineLevel="0" collapsed="false">
      <c r="A63" s="12" t="s">
        <v>2874</v>
      </c>
      <c r="B63" s="12" t="s">
        <v>48</v>
      </c>
      <c r="C63" s="12" t="s">
        <v>164</v>
      </c>
      <c r="D63" s="13" t="s">
        <v>2875</v>
      </c>
      <c r="E63" s="13" t="s">
        <v>2876</v>
      </c>
      <c r="F63" s="13" t="s">
        <v>2877</v>
      </c>
      <c r="G63" s="13" t="s">
        <v>144</v>
      </c>
      <c r="H63" s="13"/>
      <c r="I63" s="13" t="s">
        <v>1681</v>
      </c>
      <c r="J63" s="13" t="s">
        <v>2881</v>
      </c>
      <c r="K63" s="13" t="s">
        <v>2879</v>
      </c>
      <c r="L63" s="14"/>
      <c r="M63" s="14" t="s">
        <v>44</v>
      </c>
      <c r="N63" s="14"/>
      <c r="O63" s="14" t="s">
        <v>2882</v>
      </c>
      <c r="P63" s="14" t="s">
        <v>41</v>
      </c>
      <c r="Q63" s="14"/>
      <c r="R63" s="14" t="s">
        <v>2606</v>
      </c>
    </row>
    <row r="64" customFormat="false" ht="35.05" hidden="false" customHeight="false" outlineLevel="0" collapsed="false">
      <c r="A64" s="12" t="s">
        <v>2883</v>
      </c>
      <c r="B64" s="12" t="s">
        <v>48</v>
      </c>
      <c r="C64" s="12" t="s">
        <v>142</v>
      </c>
      <c r="D64" s="13" t="s">
        <v>2884</v>
      </c>
      <c r="E64" s="13" t="s">
        <v>2885</v>
      </c>
      <c r="F64" s="13" t="s">
        <v>2886</v>
      </c>
      <c r="G64" s="13" t="s">
        <v>144</v>
      </c>
      <c r="H64" s="13"/>
      <c r="I64" s="13" t="s">
        <v>1636</v>
      </c>
      <c r="J64" s="13" t="s">
        <v>2887</v>
      </c>
      <c r="K64" s="13" t="s">
        <v>2888</v>
      </c>
      <c r="L64" s="14" t="s">
        <v>2889</v>
      </c>
      <c r="M64" s="14" t="s">
        <v>41</v>
      </c>
      <c r="N64" s="14"/>
      <c r="O64" s="14" t="s">
        <v>2889</v>
      </c>
      <c r="P64" s="14" t="s">
        <v>41</v>
      </c>
      <c r="Q64" s="14"/>
      <c r="R64" s="14" t="s">
        <v>2606</v>
      </c>
    </row>
    <row r="65" customFormat="false" ht="35.05" hidden="false" customHeight="false" outlineLevel="0" collapsed="false">
      <c r="A65" s="12" t="s">
        <v>2883</v>
      </c>
      <c r="B65" s="12" t="s">
        <v>48</v>
      </c>
      <c r="C65" s="12" t="s">
        <v>164</v>
      </c>
      <c r="D65" s="13" t="s">
        <v>2884</v>
      </c>
      <c r="E65" s="13" t="s">
        <v>2885</v>
      </c>
      <c r="F65" s="13" t="s">
        <v>2886</v>
      </c>
      <c r="G65" s="13" t="s">
        <v>144</v>
      </c>
      <c r="H65" s="13"/>
      <c r="I65" s="13" t="s">
        <v>1681</v>
      </c>
      <c r="J65" s="13" t="s">
        <v>2890</v>
      </c>
      <c r="K65" s="13" t="s">
        <v>2888</v>
      </c>
      <c r="L65" s="14" t="s">
        <v>2891</v>
      </c>
      <c r="M65" s="14" t="s">
        <v>41</v>
      </c>
      <c r="N65" s="14"/>
      <c r="O65" s="14" t="s">
        <v>2892</v>
      </c>
      <c r="P65" s="14" t="s">
        <v>41</v>
      </c>
      <c r="Q65" s="14"/>
      <c r="R65" s="14" t="s">
        <v>2606</v>
      </c>
    </row>
    <row r="66" customFormat="false" ht="23.85" hidden="false" customHeight="false" outlineLevel="0" collapsed="false">
      <c r="A66" s="12" t="s">
        <v>2893</v>
      </c>
      <c r="B66" s="12" t="s">
        <v>48</v>
      </c>
      <c r="C66" s="12" t="s">
        <v>142</v>
      </c>
      <c r="D66" s="13" t="s">
        <v>2894</v>
      </c>
      <c r="E66" s="13" t="s">
        <v>2895</v>
      </c>
      <c r="F66" s="13" t="s">
        <v>2896</v>
      </c>
      <c r="G66" s="13" t="s">
        <v>144</v>
      </c>
      <c r="H66" s="13"/>
      <c r="I66" s="13" t="s">
        <v>1636</v>
      </c>
      <c r="J66" s="13" t="s">
        <v>2897</v>
      </c>
      <c r="K66" s="13" t="s">
        <v>2898</v>
      </c>
      <c r="L66" s="14" t="s">
        <v>2899</v>
      </c>
      <c r="M66" s="14" t="s">
        <v>41</v>
      </c>
      <c r="N66" s="14"/>
      <c r="O66" s="14" t="s">
        <v>2899</v>
      </c>
      <c r="P66" s="14" t="s">
        <v>41</v>
      </c>
      <c r="Q66" s="14"/>
      <c r="R66" s="14" t="s">
        <v>2606</v>
      </c>
    </row>
    <row r="67" customFormat="false" ht="23.85" hidden="false" customHeight="false" outlineLevel="0" collapsed="false">
      <c r="A67" s="12" t="s">
        <v>2893</v>
      </c>
      <c r="B67" s="12" t="s">
        <v>48</v>
      </c>
      <c r="C67" s="12" t="s">
        <v>164</v>
      </c>
      <c r="D67" s="13" t="s">
        <v>2894</v>
      </c>
      <c r="E67" s="13" t="s">
        <v>2895</v>
      </c>
      <c r="F67" s="13" t="s">
        <v>2896</v>
      </c>
      <c r="G67" s="13" t="s">
        <v>144</v>
      </c>
      <c r="H67" s="13"/>
      <c r="I67" s="13" t="s">
        <v>1681</v>
      </c>
      <c r="J67" s="13" t="s">
        <v>2900</v>
      </c>
      <c r="K67" s="13" t="s">
        <v>2898</v>
      </c>
      <c r="L67" s="14"/>
      <c r="M67" s="14" t="s">
        <v>44</v>
      </c>
      <c r="N67" s="14"/>
      <c r="O67" s="14" t="s">
        <v>2901</v>
      </c>
      <c r="P67" s="14" t="s">
        <v>41</v>
      </c>
      <c r="Q67" s="14"/>
      <c r="R67" s="14" t="s">
        <v>2606</v>
      </c>
    </row>
    <row r="68" customFormat="false" ht="35.05" hidden="false" customHeight="false" outlineLevel="0" collapsed="false">
      <c r="A68" s="12" t="s">
        <v>2902</v>
      </c>
      <c r="B68" s="12" t="s">
        <v>48</v>
      </c>
      <c r="C68" s="12" t="s">
        <v>142</v>
      </c>
      <c r="D68" s="13" t="s">
        <v>2903</v>
      </c>
      <c r="E68" s="13" t="s">
        <v>2904</v>
      </c>
      <c r="F68" s="13" t="s">
        <v>2905</v>
      </c>
      <c r="G68" s="13" t="s">
        <v>144</v>
      </c>
      <c r="H68" s="13"/>
      <c r="I68" s="13" t="s">
        <v>1636</v>
      </c>
      <c r="J68" s="13" t="s">
        <v>2906</v>
      </c>
      <c r="K68" s="13" t="s">
        <v>2907</v>
      </c>
      <c r="L68" s="14" t="s">
        <v>2908</v>
      </c>
      <c r="M68" s="14" t="s">
        <v>42</v>
      </c>
      <c r="N68" s="14" t="s">
        <v>2909</v>
      </c>
      <c r="O68" s="14" t="s">
        <v>2910</v>
      </c>
      <c r="P68" s="14" t="s">
        <v>41</v>
      </c>
      <c r="Q68" s="14"/>
      <c r="R68" s="14" t="s">
        <v>2606</v>
      </c>
    </row>
    <row r="69" customFormat="false" ht="35.05" hidden="false" customHeight="false" outlineLevel="0" collapsed="false">
      <c r="A69" s="12" t="s">
        <v>2902</v>
      </c>
      <c r="B69" s="12" t="s">
        <v>48</v>
      </c>
      <c r="C69" s="12" t="s">
        <v>164</v>
      </c>
      <c r="D69" s="13" t="s">
        <v>2903</v>
      </c>
      <c r="E69" s="13" t="s">
        <v>2904</v>
      </c>
      <c r="F69" s="13" t="s">
        <v>2905</v>
      </c>
      <c r="G69" s="13" t="s">
        <v>144</v>
      </c>
      <c r="H69" s="13"/>
      <c r="I69" s="13" t="s">
        <v>1681</v>
      </c>
      <c r="J69" s="13" t="s">
        <v>2911</v>
      </c>
      <c r="K69" s="13" t="s">
        <v>2907</v>
      </c>
      <c r="L69" s="14" t="s">
        <v>2908</v>
      </c>
      <c r="M69" s="14" t="s">
        <v>42</v>
      </c>
      <c r="N69" s="14" t="s">
        <v>2912</v>
      </c>
      <c r="O69" s="14" t="s">
        <v>2913</v>
      </c>
      <c r="P69" s="14" t="s">
        <v>41</v>
      </c>
      <c r="Q69" s="14"/>
      <c r="R69" s="14" t="s">
        <v>2606</v>
      </c>
    </row>
    <row r="70" customFormat="false" ht="23.85" hidden="false" customHeight="false" outlineLevel="0" collapsed="false">
      <c r="A70" s="12" t="s">
        <v>2914</v>
      </c>
      <c r="B70" s="12" t="s">
        <v>48</v>
      </c>
      <c r="C70" s="12" t="s">
        <v>142</v>
      </c>
      <c r="D70" s="13" t="s">
        <v>2915</v>
      </c>
      <c r="E70" s="13" t="s">
        <v>2916</v>
      </c>
      <c r="F70" s="13" t="s">
        <v>2917</v>
      </c>
      <c r="G70" s="13" t="s">
        <v>144</v>
      </c>
      <c r="H70" s="13"/>
      <c r="I70" s="13" t="s">
        <v>1636</v>
      </c>
      <c r="J70" s="13" t="s">
        <v>2918</v>
      </c>
      <c r="K70" s="13" t="s">
        <v>2919</v>
      </c>
      <c r="L70" s="14" t="s">
        <v>2920</v>
      </c>
      <c r="M70" s="14" t="s">
        <v>41</v>
      </c>
      <c r="N70" s="14"/>
      <c r="O70" s="14" t="s">
        <v>2920</v>
      </c>
      <c r="P70" s="14" t="s">
        <v>41</v>
      </c>
      <c r="Q70" s="14"/>
      <c r="R70" s="14" t="s">
        <v>2606</v>
      </c>
    </row>
    <row r="71" customFormat="false" ht="23.85" hidden="false" customHeight="false" outlineLevel="0" collapsed="false">
      <c r="A71" s="12" t="s">
        <v>2914</v>
      </c>
      <c r="B71" s="12" t="s">
        <v>48</v>
      </c>
      <c r="C71" s="12" t="s">
        <v>164</v>
      </c>
      <c r="D71" s="13" t="s">
        <v>2915</v>
      </c>
      <c r="E71" s="13" t="s">
        <v>2916</v>
      </c>
      <c r="F71" s="13" t="s">
        <v>2917</v>
      </c>
      <c r="G71" s="13" t="s">
        <v>144</v>
      </c>
      <c r="H71" s="13"/>
      <c r="I71" s="13" t="s">
        <v>1681</v>
      </c>
      <c r="J71" s="13" t="s">
        <v>2921</v>
      </c>
      <c r="K71" s="13" t="s">
        <v>2919</v>
      </c>
      <c r="L71" s="14" t="s">
        <v>2922</v>
      </c>
      <c r="M71" s="14" t="s">
        <v>41</v>
      </c>
      <c r="N71" s="14"/>
      <c r="O71" s="14" t="s">
        <v>2922</v>
      </c>
      <c r="P71" s="14" t="s">
        <v>41</v>
      </c>
      <c r="Q71" s="14"/>
      <c r="R71" s="14" t="s">
        <v>2606</v>
      </c>
    </row>
    <row r="72" customFormat="false" ht="35.05" hidden="false" customHeight="false" outlineLevel="0" collapsed="false">
      <c r="A72" s="12" t="s">
        <v>2923</v>
      </c>
      <c r="B72" s="12" t="s">
        <v>48</v>
      </c>
      <c r="C72" s="12" t="s">
        <v>142</v>
      </c>
      <c r="D72" s="13" t="s">
        <v>2924</v>
      </c>
      <c r="E72" s="13" t="s">
        <v>2925</v>
      </c>
      <c r="F72" s="13" t="s">
        <v>2926</v>
      </c>
      <c r="G72" s="13" t="s">
        <v>144</v>
      </c>
      <c r="H72" s="13"/>
      <c r="I72" s="13" t="s">
        <v>1636</v>
      </c>
      <c r="J72" s="13" t="s">
        <v>2927</v>
      </c>
      <c r="K72" s="13" t="s">
        <v>2928</v>
      </c>
      <c r="L72" s="14" t="s">
        <v>2929</v>
      </c>
      <c r="M72" s="14" t="s">
        <v>42</v>
      </c>
      <c r="N72" s="14" t="s">
        <v>2930</v>
      </c>
      <c r="O72" s="14" t="s">
        <v>2824</v>
      </c>
      <c r="P72" s="14" t="s">
        <v>41</v>
      </c>
      <c r="Q72" s="14"/>
      <c r="R72" s="14" t="s">
        <v>2606</v>
      </c>
    </row>
    <row r="73" customFormat="false" ht="35.05" hidden="false" customHeight="false" outlineLevel="0" collapsed="false">
      <c r="A73" s="12" t="s">
        <v>2923</v>
      </c>
      <c r="B73" s="12" t="s">
        <v>48</v>
      </c>
      <c r="C73" s="12" t="s">
        <v>164</v>
      </c>
      <c r="D73" s="13" t="s">
        <v>2924</v>
      </c>
      <c r="E73" s="13" t="s">
        <v>2925</v>
      </c>
      <c r="F73" s="13" t="s">
        <v>2926</v>
      </c>
      <c r="G73" s="13" t="s">
        <v>144</v>
      </c>
      <c r="H73" s="13"/>
      <c r="I73" s="13" t="s">
        <v>1681</v>
      </c>
      <c r="J73" s="13" t="s">
        <v>2825</v>
      </c>
      <c r="K73" s="13" t="s">
        <v>2928</v>
      </c>
      <c r="L73" s="14" t="s">
        <v>2929</v>
      </c>
      <c r="M73" s="14" t="s">
        <v>42</v>
      </c>
      <c r="N73" s="14" t="s">
        <v>2931</v>
      </c>
      <c r="O73" s="14" t="s">
        <v>2826</v>
      </c>
      <c r="P73" s="14" t="s">
        <v>41</v>
      </c>
      <c r="Q73" s="14"/>
      <c r="R73" s="14" t="s">
        <v>2606</v>
      </c>
    </row>
    <row r="74" customFormat="false" ht="35.05" hidden="false" customHeight="false" outlineLevel="0" collapsed="false">
      <c r="A74" s="12" t="s">
        <v>2932</v>
      </c>
      <c r="B74" s="12" t="s">
        <v>48</v>
      </c>
      <c r="C74" s="12" t="s">
        <v>142</v>
      </c>
      <c r="D74" s="13" t="s">
        <v>2933</v>
      </c>
      <c r="E74" s="13" t="s">
        <v>2934</v>
      </c>
      <c r="F74" s="13" t="s">
        <v>2935</v>
      </c>
      <c r="G74" s="13" t="s">
        <v>144</v>
      </c>
      <c r="H74" s="13"/>
      <c r="I74" s="13" t="s">
        <v>1636</v>
      </c>
      <c r="J74" s="13" t="s">
        <v>2936</v>
      </c>
      <c r="K74" s="13" t="s">
        <v>2671</v>
      </c>
      <c r="L74" s="14" t="s">
        <v>2937</v>
      </c>
      <c r="M74" s="14" t="s">
        <v>41</v>
      </c>
      <c r="N74" s="14"/>
      <c r="O74" s="14" t="s">
        <v>2937</v>
      </c>
      <c r="P74" s="14" t="s">
        <v>41</v>
      </c>
      <c r="Q74" s="14"/>
      <c r="R74" s="14" t="s">
        <v>2606</v>
      </c>
    </row>
    <row r="75" customFormat="false" ht="23.85" hidden="false" customHeight="false" outlineLevel="0" collapsed="false">
      <c r="A75" s="12" t="s">
        <v>2932</v>
      </c>
      <c r="B75" s="12" t="s">
        <v>48</v>
      </c>
      <c r="C75" s="12" t="s">
        <v>164</v>
      </c>
      <c r="D75" s="13" t="s">
        <v>2933</v>
      </c>
      <c r="E75" s="13" t="s">
        <v>2934</v>
      </c>
      <c r="F75" s="13" t="s">
        <v>2935</v>
      </c>
      <c r="G75" s="13" t="s">
        <v>144</v>
      </c>
      <c r="H75" s="13"/>
      <c r="I75" s="13" t="s">
        <v>1681</v>
      </c>
      <c r="J75" s="13" t="s">
        <v>2774</v>
      </c>
      <c r="K75" s="13" t="s">
        <v>2671</v>
      </c>
      <c r="L75" s="14"/>
      <c r="M75" s="14" t="s">
        <v>44</v>
      </c>
      <c r="N75" s="14"/>
      <c r="O75" s="14" t="s">
        <v>2775</v>
      </c>
      <c r="P75" s="14" t="s">
        <v>41</v>
      </c>
      <c r="Q75" s="14"/>
      <c r="R75" s="14" t="s">
        <v>2606</v>
      </c>
    </row>
    <row r="76" customFormat="false" ht="35.05" hidden="false" customHeight="false" outlineLevel="0" collapsed="false">
      <c r="A76" s="12" t="s">
        <v>2938</v>
      </c>
      <c r="B76" s="12" t="s">
        <v>48</v>
      </c>
      <c r="C76" s="12" t="s">
        <v>142</v>
      </c>
      <c r="D76" s="13" t="s">
        <v>2939</v>
      </c>
      <c r="E76" s="13" t="s">
        <v>2940</v>
      </c>
      <c r="F76" s="13" t="s">
        <v>2941</v>
      </c>
      <c r="G76" s="13" t="s">
        <v>144</v>
      </c>
      <c r="H76" s="13"/>
      <c r="I76" s="13" t="s">
        <v>1636</v>
      </c>
      <c r="J76" s="13" t="s">
        <v>2942</v>
      </c>
      <c r="K76" s="13" t="s">
        <v>2680</v>
      </c>
      <c r="L76" s="14" t="s">
        <v>2943</v>
      </c>
      <c r="M76" s="14" t="s">
        <v>41</v>
      </c>
      <c r="N76" s="14"/>
      <c r="O76" s="14" t="s">
        <v>2943</v>
      </c>
      <c r="P76" s="14" t="s">
        <v>41</v>
      </c>
      <c r="Q76" s="14"/>
      <c r="R76" s="14" t="s">
        <v>2606</v>
      </c>
    </row>
    <row r="77" customFormat="false" ht="23.85" hidden="false" customHeight="false" outlineLevel="0" collapsed="false">
      <c r="A77" s="12" t="s">
        <v>2938</v>
      </c>
      <c r="B77" s="12" t="s">
        <v>48</v>
      </c>
      <c r="C77" s="12" t="s">
        <v>164</v>
      </c>
      <c r="D77" s="13" t="s">
        <v>2939</v>
      </c>
      <c r="E77" s="13" t="s">
        <v>2940</v>
      </c>
      <c r="F77" s="13" t="s">
        <v>2941</v>
      </c>
      <c r="G77" s="13" t="s">
        <v>144</v>
      </c>
      <c r="H77" s="13"/>
      <c r="I77" s="13" t="s">
        <v>1681</v>
      </c>
      <c r="J77" s="13" t="s">
        <v>2703</v>
      </c>
      <c r="K77" s="13" t="s">
        <v>2680</v>
      </c>
      <c r="L77" s="14"/>
      <c r="M77" s="14" t="s">
        <v>44</v>
      </c>
      <c r="N77" s="14"/>
      <c r="O77" s="14" t="s">
        <v>2704</v>
      </c>
      <c r="P77" s="14" t="s">
        <v>41</v>
      </c>
      <c r="Q77" s="14"/>
      <c r="R77" s="14" t="s">
        <v>2606</v>
      </c>
    </row>
    <row r="78" customFormat="false" ht="23.85" hidden="false" customHeight="false" outlineLevel="0" collapsed="false">
      <c r="A78" s="12" t="s">
        <v>2944</v>
      </c>
      <c r="B78" s="12" t="s">
        <v>48</v>
      </c>
      <c r="C78" s="12" t="s">
        <v>142</v>
      </c>
      <c r="D78" s="13" t="s">
        <v>2945</v>
      </c>
      <c r="E78" s="13" t="s">
        <v>2946</v>
      </c>
      <c r="F78" s="13" t="s">
        <v>2947</v>
      </c>
      <c r="G78" s="13" t="s">
        <v>144</v>
      </c>
      <c r="H78" s="13"/>
      <c r="I78" s="13" t="s">
        <v>1636</v>
      </c>
      <c r="J78" s="13" t="s">
        <v>2948</v>
      </c>
      <c r="K78" s="13" t="s">
        <v>2949</v>
      </c>
      <c r="L78" s="14"/>
      <c r="M78" s="14" t="s">
        <v>44</v>
      </c>
      <c r="N78" s="14" t="s">
        <v>919</v>
      </c>
      <c r="O78" s="14" t="s">
        <v>2950</v>
      </c>
      <c r="P78" s="14" t="s">
        <v>41</v>
      </c>
      <c r="Q78" s="14"/>
      <c r="R78" s="14" t="s">
        <v>2606</v>
      </c>
    </row>
    <row r="79" customFormat="false" ht="23.85" hidden="false" customHeight="false" outlineLevel="0" collapsed="false">
      <c r="A79" s="12" t="s">
        <v>2944</v>
      </c>
      <c r="B79" s="12" t="s">
        <v>48</v>
      </c>
      <c r="C79" s="12" t="s">
        <v>164</v>
      </c>
      <c r="D79" s="13" t="s">
        <v>2945</v>
      </c>
      <c r="E79" s="13" t="s">
        <v>2946</v>
      </c>
      <c r="F79" s="13" t="s">
        <v>2947</v>
      </c>
      <c r="G79" s="13" t="s">
        <v>144</v>
      </c>
      <c r="H79" s="13"/>
      <c r="I79" s="13" t="s">
        <v>1681</v>
      </c>
      <c r="J79" s="13" t="s">
        <v>2673</v>
      </c>
      <c r="K79" s="13" t="s">
        <v>2949</v>
      </c>
      <c r="L79" s="14"/>
      <c r="M79" s="14" t="s">
        <v>44</v>
      </c>
      <c r="N79" s="14" t="s">
        <v>2654</v>
      </c>
      <c r="O79" s="14" t="s">
        <v>2951</v>
      </c>
      <c r="P79" s="14" t="s">
        <v>41</v>
      </c>
      <c r="Q79" s="14"/>
      <c r="R79" s="14" t="s">
        <v>2606</v>
      </c>
    </row>
    <row r="80" customFormat="false" ht="35.05" hidden="false" customHeight="false" outlineLevel="0" collapsed="false">
      <c r="A80" s="12" t="s">
        <v>2944</v>
      </c>
      <c r="B80" s="12" t="s">
        <v>48</v>
      </c>
      <c r="C80" s="12" t="s">
        <v>1396</v>
      </c>
      <c r="D80" s="13" t="s">
        <v>2945</v>
      </c>
      <c r="E80" s="13" t="s">
        <v>2946</v>
      </c>
      <c r="F80" s="13" t="s">
        <v>2947</v>
      </c>
      <c r="G80" s="13" t="s">
        <v>144</v>
      </c>
      <c r="H80" s="13"/>
      <c r="I80" s="13" t="s">
        <v>387</v>
      </c>
      <c r="J80" s="13"/>
      <c r="K80" s="13" t="s">
        <v>2949</v>
      </c>
      <c r="L80" s="14"/>
      <c r="M80" s="14" t="s">
        <v>43</v>
      </c>
      <c r="N80" s="14" t="s">
        <v>2952</v>
      </c>
      <c r="O80" s="14"/>
      <c r="P80" s="14"/>
      <c r="Q80" s="14"/>
      <c r="R80" s="14"/>
    </row>
    <row r="81" customFormat="false" ht="35.05" hidden="false" customHeight="false" outlineLevel="0" collapsed="false">
      <c r="A81" s="12" t="s">
        <v>2953</v>
      </c>
      <c r="B81" s="12" t="s">
        <v>49</v>
      </c>
      <c r="C81" s="12" t="s">
        <v>142</v>
      </c>
      <c r="D81" s="13" t="s">
        <v>2954</v>
      </c>
      <c r="E81" s="13" t="s">
        <v>2955</v>
      </c>
      <c r="F81" s="13" t="s">
        <v>2956</v>
      </c>
      <c r="G81" s="13" t="s">
        <v>144</v>
      </c>
      <c r="H81" s="13" t="s">
        <v>93</v>
      </c>
      <c r="I81" s="13" t="s">
        <v>1264</v>
      </c>
      <c r="J81" s="13" t="s">
        <v>2957</v>
      </c>
      <c r="K81" s="13" t="s">
        <v>2958</v>
      </c>
      <c r="L81" s="14" t="s">
        <v>2959</v>
      </c>
      <c r="M81" s="14" t="s">
        <v>41</v>
      </c>
      <c r="N81" s="14"/>
      <c r="O81" s="14" t="s">
        <v>2959</v>
      </c>
      <c r="P81" s="14" t="s">
        <v>41</v>
      </c>
      <c r="Q81" s="14"/>
      <c r="R81" s="14" t="s">
        <v>2606</v>
      </c>
    </row>
    <row r="82" customFormat="false" ht="23.85" hidden="false" customHeight="false" outlineLevel="0" collapsed="false">
      <c r="A82" s="12" t="s">
        <v>2953</v>
      </c>
      <c r="B82" s="12" t="s">
        <v>49</v>
      </c>
      <c r="C82" s="12" t="s">
        <v>164</v>
      </c>
      <c r="D82" s="13" t="s">
        <v>2954</v>
      </c>
      <c r="E82" s="13" t="s">
        <v>2955</v>
      </c>
      <c r="F82" s="13" t="s">
        <v>2956</v>
      </c>
      <c r="G82" s="13" t="s">
        <v>144</v>
      </c>
      <c r="H82" s="13"/>
      <c r="I82" s="13" t="s">
        <v>1636</v>
      </c>
      <c r="J82" s="13" t="s">
        <v>2960</v>
      </c>
      <c r="K82" s="13" t="s">
        <v>2958</v>
      </c>
      <c r="L82" s="14" t="s">
        <v>2961</v>
      </c>
      <c r="M82" s="14" t="s">
        <v>41</v>
      </c>
      <c r="N82" s="14"/>
      <c r="O82" s="14" t="s">
        <v>2961</v>
      </c>
      <c r="P82" s="14" t="s">
        <v>41</v>
      </c>
      <c r="Q82" s="14"/>
      <c r="R82" s="14" t="s">
        <v>2606</v>
      </c>
    </row>
    <row r="83" customFormat="false" ht="23.85" hidden="false" customHeight="false" outlineLevel="0" collapsed="false">
      <c r="A83" s="12" t="s">
        <v>2953</v>
      </c>
      <c r="B83" s="12" t="s">
        <v>49</v>
      </c>
      <c r="C83" s="12" t="s">
        <v>386</v>
      </c>
      <c r="D83" s="13" t="s">
        <v>2954</v>
      </c>
      <c r="E83" s="13" t="s">
        <v>2955</v>
      </c>
      <c r="F83" s="13" t="s">
        <v>2956</v>
      </c>
      <c r="G83" s="13" t="s">
        <v>144</v>
      </c>
      <c r="H83" s="13"/>
      <c r="I83" s="13" t="s">
        <v>1681</v>
      </c>
      <c r="J83" s="13" t="s">
        <v>2774</v>
      </c>
      <c r="K83" s="13" t="s">
        <v>2958</v>
      </c>
      <c r="L83" s="14"/>
      <c r="M83" s="14" t="s">
        <v>44</v>
      </c>
      <c r="N83" s="14"/>
      <c r="O83" s="14" t="s">
        <v>2775</v>
      </c>
      <c r="P83" s="14" t="s">
        <v>41</v>
      </c>
      <c r="Q83" s="14"/>
      <c r="R83" s="14" t="s">
        <v>2606</v>
      </c>
    </row>
    <row r="84" customFormat="false" ht="23.85" hidden="false" customHeight="false" outlineLevel="0" collapsed="false">
      <c r="A84" s="12" t="s">
        <v>2962</v>
      </c>
      <c r="B84" s="12" t="s">
        <v>49</v>
      </c>
      <c r="C84" s="12" t="s">
        <v>142</v>
      </c>
      <c r="D84" s="13" t="s">
        <v>2963</v>
      </c>
      <c r="E84" s="13" t="s">
        <v>2964</v>
      </c>
      <c r="F84" s="13" t="s">
        <v>2965</v>
      </c>
      <c r="G84" s="13" t="s">
        <v>144</v>
      </c>
      <c r="H84" s="13" t="s">
        <v>95</v>
      </c>
      <c r="I84" s="13" t="s">
        <v>1605</v>
      </c>
      <c r="J84" s="13" t="s">
        <v>2966</v>
      </c>
      <c r="K84" s="13" t="s">
        <v>2967</v>
      </c>
      <c r="L84" s="14" t="s">
        <v>2968</v>
      </c>
      <c r="M84" s="14" t="s">
        <v>41</v>
      </c>
      <c r="N84" s="14"/>
      <c r="O84" s="14" t="s">
        <v>2968</v>
      </c>
      <c r="P84" s="14" t="s">
        <v>41</v>
      </c>
      <c r="Q84" s="14"/>
      <c r="R84" s="14" t="s">
        <v>2606</v>
      </c>
    </row>
    <row r="85" customFormat="false" ht="23.85" hidden="false" customHeight="false" outlineLevel="0" collapsed="false">
      <c r="A85" s="12" t="s">
        <v>2962</v>
      </c>
      <c r="B85" s="12" t="s">
        <v>49</v>
      </c>
      <c r="C85" s="12" t="s">
        <v>164</v>
      </c>
      <c r="D85" s="13" t="s">
        <v>2963</v>
      </c>
      <c r="E85" s="13" t="s">
        <v>2964</v>
      </c>
      <c r="F85" s="13" t="s">
        <v>2965</v>
      </c>
      <c r="G85" s="13" t="s">
        <v>144</v>
      </c>
      <c r="H85" s="13"/>
      <c r="I85" s="13" t="s">
        <v>1636</v>
      </c>
      <c r="J85" s="13" t="s">
        <v>2969</v>
      </c>
      <c r="K85" s="13" t="s">
        <v>2967</v>
      </c>
      <c r="L85" s="14" t="s">
        <v>2970</v>
      </c>
      <c r="M85" s="14" t="s">
        <v>41</v>
      </c>
      <c r="N85" s="14"/>
      <c r="O85" s="14" t="s">
        <v>2970</v>
      </c>
      <c r="P85" s="14" t="s">
        <v>41</v>
      </c>
      <c r="Q85" s="14"/>
      <c r="R85" s="14" t="s">
        <v>2606</v>
      </c>
    </row>
    <row r="86" customFormat="false" ht="23.85" hidden="false" customHeight="false" outlineLevel="0" collapsed="false">
      <c r="A86" s="12" t="s">
        <v>2962</v>
      </c>
      <c r="B86" s="12" t="s">
        <v>49</v>
      </c>
      <c r="C86" s="12" t="s">
        <v>386</v>
      </c>
      <c r="D86" s="13" t="s">
        <v>2963</v>
      </c>
      <c r="E86" s="13" t="s">
        <v>2964</v>
      </c>
      <c r="F86" s="13" t="s">
        <v>2965</v>
      </c>
      <c r="G86" s="13" t="s">
        <v>144</v>
      </c>
      <c r="H86" s="13"/>
      <c r="I86" s="13" t="s">
        <v>1681</v>
      </c>
      <c r="J86" s="13" t="s">
        <v>2787</v>
      </c>
      <c r="K86" s="13" t="s">
        <v>2967</v>
      </c>
      <c r="L86" s="14" t="s">
        <v>2788</v>
      </c>
      <c r="M86" s="14" t="s">
        <v>41</v>
      </c>
      <c r="N86" s="14"/>
      <c r="O86" s="14" t="s">
        <v>2788</v>
      </c>
      <c r="P86" s="14" t="s">
        <v>41</v>
      </c>
      <c r="Q86" s="14"/>
      <c r="R86" s="14" t="s">
        <v>2606</v>
      </c>
    </row>
    <row r="87" customFormat="false" ht="35.05" hidden="false" customHeight="false" outlineLevel="0" collapsed="false">
      <c r="A87" s="12" t="s">
        <v>2971</v>
      </c>
      <c r="B87" s="12" t="s">
        <v>49</v>
      </c>
      <c r="C87" s="12" t="s">
        <v>142</v>
      </c>
      <c r="D87" s="13" t="s">
        <v>2972</v>
      </c>
      <c r="E87" s="13" t="s">
        <v>2973</v>
      </c>
      <c r="F87" s="13" t="s">
        <v>2974</v>
      </c>
      <c r="G87" s="13" t="s">
        <v>144</v>
      </c>
      <c r="H87" s="13" t="s">
        <v>97</v>
      </c>
      <c r="I87" s="13" t="s">
        <v>1613</v>
      </c>
      <c r="J87" s="13" t="s">
        <v>2975</v>
      </c>
      <c r="K87" s="13" t="s">
        <v>2976</v>
      </c>
      <c r="L87" s="14" t="s">
        <v>2977</v>
      </c>
      <c r="M87" s="14" t="s">
        <v>41</v>
      </c>
      <c r="N87" s="14"/>
      <c r="O87" s="14" t="s">
        <v>2977</v>
      </c>
      <c r="P87" s="14" t="s">
        <v>41</v>
      </c>
      <c r="Q87" s="14"/>
      <c r="R87" s="14" t="s">
        <v>2606</v>
      </c>
    </row>
    <row r="88" customFormat="false" ht="35.05" hidden="false" customHeight="false" outlineLevel="0" collapsed="false">
      <c r="A88" s="12" t="s">
        <v>2971</v>
      </c>
      <c r="B88" s="12" t="s">
        <v>49</v>
      </c>
      <c r="C88" s="12" t="s">
        <v>164</v>
      </c>
      <c r="D88" s="13" t="s">
        <v>2972</v>
      </c>
      <c r="E88" s="13" t="s">
        <v>2973</v>
      </c>
      <c r="F88" s="13" t="s">
        <v>2974</v>
      </c>
      <c r="G88" s="13" t="s">
        <v>144</v>
      </c>
      <c r="H88" s="13"/>
      <c r="I88" s="13" t="s">
        <v>1636</v>
      </c>
      <c r="J88" s="13" t="s">
        <v>2978</v>
      </c>
      <c r="K88" s="13" t="s">
        <v>2976</v>
      </c>
      <c r="L88" s="14" t="s">
        <v>2979</v>
      </c>
      <c r="M88" s="14" t="s">
        <v>41</v>
      </c>
      <c r="N88" s="14"/>
      <c r="O88" s="14" t="s">
        <v>2979</v>
      </c>
      <c r="P88" s="14" t="s">
        <v>41</v>
      </c>
      <c r="Q88" s="14"/>
      <c r="R88" s="14" t="s">
        <v>2606</v>
      </c>
    </row>
    <row r="89" customFormat="false" ht="35.05" hidden="false" customHeight="false" outlineLevel="0" collapsed="false">
      <c r="A89" s="12" t="s">
        <v>2971</v>
      </c>
      <c r="B89" s="12" t="s">
        <v>49</v>
      </c>
      <c r="C89" s="12" t="s">
        <v>386</v>
      </c>
      <c r="D89" s="13" t="s">
        <v>2972</v>
      </c>
      <c r="E89" s="13" t="s">
        <v>2973</v>
      </c>
      <c r="F89" s="13" t="s">
        <v>2974</v>
      </c>
      <c r="G89" s="13" t="s">
        <v>144</v>
      </c>
      <c r="H89" s="13"/>
      <c r="I89" s="13" t="s">
        <v>1681</v>
      </c>
      <c r="J89" s="13" t="s">
        <v>2774</v>
      </c>
      <c r="K89" s="13" t="s">
        <v>2976</v>
      </c>
      <c r="L89" s="14" t="s">
        <v>2980</v>
      </c>
      <c r="M89" s="14" t="s">
        <v>44</v>
      </c>
      <c r="N89" s="14"/>
      <c r="O89" s="14" t="s">
        <v>2775</v>
      </c>
      <c r="P89" s="14" t="s">
        <v>41</v>
      </c>
      <c r="Q89" s="14"/>
      <c r="R89" s="14" t="s">
        <v>2606</v>
      </c>
    </row>
    <row r="90" customFormat="false" ht="35.05" hidden="false" customHeight="false" outlineLevel="0" collapsed="false">
      <c r="A90" s="12" t="s">
        <v>2981</v>
      </c>
      <c r="B90" s="12" t="s">
        <v>49</v>
      </c>
      <c r="C90" s="12" t="s">
        <v>142</v>
      </c>
      <c r="D90" s="13" t="s">
        <v>2982</v>
      </c>
      <c r="E90" s="13" t="s">
        <v>2983</v>
      </c>
      <c r="F90" s="13" t="s">
        <v>2984</v>
      </c>
      <c r="G90" s="13" t="s">
        <v>144</v>
      </c>
      <c r="H90" s="13" t="s">
        <v>1627</v>
      </c>
      <c r="I90" s="13" t="s">
        <v>1628</v>
      </c>
      <c r="J90" s="13" t="s">
        <v>2985</v>
      </c>
      <c r="K90" s="13" t="s">
        <v>2986</v>
      </c>
      <c r="L90" s="14" t="s">
        <v>2987</v>
      </c>
      <c r="M90" s="14" t="s">
        <v>41</v>
      </c>
      <c r="N90" s="14"/>
      <c r="O90" s="14" t="s">
        <v>2987</v>
      </c>
      <c r="P90" s="14" t="s">
        <v>41</v>
      </c>
      <c r="Q90" s="14"/>
      <c r="R90" s="14" t="s">
        <v>2606</v>
      </c>
    </row>
    <row r="91" customFormat="false" ht="23.85" hidden="false" customHeight="false" outlineLevel="0" collapsed="false">
      <c r="A91" s="12" t="s">
        <v>2981</v>
      </c>
      <c r="B91" s="12" t="s">
        <v>49</v>
      </c>
      <c r="C91" s="12" t="s">
        <v>164</v>
      </c>
      <c r="D91" s="13" t="s">
        <v>2982</v>
      </c>
      <c r="E91" s="13" t="s">
        <v>2983</v>
      </c>
      <c r="F91" s="13" t="s">
        <v>2984</v>
      </c>
      <c r="G91" s="13" t="s">
        <v>144</v>
      </c>
      <c r="H91" s="13"/>
      <c r="I91" s="13" t="s">
        <v>1636</v>
      </c>
      <c r="J91" s="13" t="s">
        <v>2988</v>
      </c>
      <c r="K91" s="13" t="s">
        <v>2986</v>
      </c>
      <c r="L91" s="14" t="s">
        <v>2989</v>
      </c>
      <c r="M91" s="14" t="s">
        <v>41</v>
      </c>
      <c r="N91" s="14"/>
      <c r="O91" s="14" t="s">
        <v>2989</v>
      </c>
      <c r="P91" s="14" t="s">
        <v>41</v>
      </c>
      <c r="Q91" s="14"/>
      <c r="R91" s="14" t="s">
        <v>2606</v>
      </c>
    </row>
    <row r="92" customFormat="false" ht="23.85" hidden="false" customHeight="false" outlineLevel="0" collapsed="false">
      <c r="A92" s="12" t="s">
        <v>2981</v>
      </c>
      <c r="B92" s="12" t="s">
        <v>49</v>
      </c>
      <c r="C92" s="12" t="s">
        <v>386</v>
      </c>
      <c r="D92" s="13" t="s">
        <v>2982</v>
      </c>
      <c r="E92" s="13" t="s">
        <v>2983</v>
      </c>
      <c r="F92" s="13" t="s">
        <v>2984</v>
      </c>
      <c r="G92" s="13" t="s">
        <v>144</v>
      </c>
      <c r="H92" s="13"/>
      <c r="I92" s="13" t="s">
        <v>1681</v>
      </c>
      <c r="J92" s="13" t="s">
        <v>1682</v>
      </c>
      <c r="K92" s="13" t="s">
        <v>2986</v>
      </c>
      <c r="L92" s="14"/>
      <c r="M92" s="14" t="s">
        <v>44</v>
      </c>
      <c r="N92" s="14"/>
      <c r="O92" s="14" t="s">
        <v>2990</v>
      </c>
      <c r="P92" s="14" t="s">
        <v>41</v>
      </c>
      <c r="Q92" s="14"/>
      <c r="R92" s="14" t="s">
        <v>2606</v>
      </c>
    </row>
    <row r="93" customFormat="false" ht="35.05" hidden="false" customHeight="false" outlineLevel="0" collapsed="false">
      <c r="A93" s="12" t="s">
        <v>2991</v>
      </c>
      <c r="B93" s="12" t="s">
        <v>49</v>
      </c>
      <c r="C93" s="12" t="s">
        <v>142</v>
      </c>
      <c r="D93" s="13" t="s">
        <v>2992</v>
      </c>
      <c r="E93" s="13" t="s">
        <v>2993</v>
      </c>
      <c r="F93" s="13" t="s">
        <v>2994</v>
      </c>
      <c r="G93" s="13" t="s">
        <v>144</v>
      </c>
      <c r="H93" s="13" t="s">
        <v>93</v>
      </c>
      <c r="I93" s="13" t="s">
        <v>1274</v>
      </c>
      <c r="J93" s="13" t="s">
        <v>1657</v>
      </c>
      <c r="K93" s="13" t="s">
        <v>2995</v>
      </c>
      <c r="L93" s="14" t="s">
        <v>2996</v>
      </c>
      <c r="M93" s="14" t="s">
        <v>41</v>
      </c>
      <c r="N93" s="14"/>
      <c r="O93" s="14" t="s">
        <v>2996</v>
      </c>
      <c r="P93" s="14" t="s">
        <v>41</v>
      </c>
      <c r="Q93" s="14"/>
      <c r="R93" s="14" t="s">
        <v>2606</v>
      </c>
    </row>
    <row r="94" customFormat="false" ht="23.85" hidden="false" customHeight="false" outlineLevel="0" collapsed="false">
      <c r="A94" s="12" t="s">
        <v>2991</v>
      </c>
      <c r="B94" s="12" t="s">
        <v>49</v>
      </c>
      <c r="C94" s="12" t="s">
        <v>164</v>
      </c>
      <c r="D94" s="13" t="s">
        <v>2992</v>
      </c>
      <c r="E94" s="13" t="s">
        <v>2993</v>
      </c>
      <c r="F94" s="13" t="s">
        <v>2994</v>
      </c>
      <c r="G94" s="13" t="s">
        <v>144</v>
      </c>
      <c r="H94" s="13"/>
      <c r="I94" s="13" t="s">
        <v>1636</v>
      </c>
      <c r="J94" s="13" t="s">
        <v>2997</v>
      </c>
      <c r="K94" s="13" t="s">
        <v>2995</v>
      </c>
      <c r="L94" s="14" t="s">
        <v>1768</v>
      </c>
      <c r="M94" s="14" t="s">
        <v>44</v>
      </c>
      <c r="N94" s="14" t="s">
        <v>2654</v>
      </c>
      <c r="O94" s="14" t="s">
        <v>2998</v>
      </c>
      <c r="P94" s="14" t="s">
        <v>41</v>
      </c>
      <c r="Q94" s="14"/>
      <c r="R94" s="14" t="s">
        <v>2606</v>
      </c>
    </row>
    <row r="95" customFormat="false" ht="23.85" hidden="false" customHeight="false" outlineLevel="0" collapsed="false">
      <c r="A95" s="12" t="s">
        <v>2991</v>
      </c>
      <c r="B95" s="12" t="s">
        <v>49</v>
      </c>
      <c r="C95" s="12" t="s">
        <v>386</v>
      </c>
      <c r="D95" s="13" t="s">
        <v>2992</v>
      </c>
      <c r="E95" s="13" t="s">
        <v>2993</v>
      </c>
      <c r="F95" s="13" t="s">
        <v>2994</v>
      </c>
      <c r="G95" s="13" t="s">
        <v>144</v>
      </c>
      <c r="H95" s="13"/>
      <c r="I95" s="13" t="s">
        <v>1681</v>
      </c>
      <c r="J95" s="13" t="s">
        <v>2634</v>
      </c>
      <c r="K95" s="13" t="s">
        <v>2995</v>
      </c>
      <c r="L95" s="14" t="s">
        <v>1768</v>
      </c>
      <c r="M95" s="14" t="s">
        <v>44</v>
      </c>
      <c r="N95" s="14"/>
      <c r="O95" s="14" t="s">
        <v>2635</v>
      </c>
      <c r="P95" s="14" t="s">
        <v>41</v>
      </c>
      <c r="Q95" s="14"/>
      <c r="R95" s="14" t="s">
        <v>2606</v>
      </c>
    </row>
    <row r="96" customFormat="false" ht="23.85" hidden="false" customHeight="false" outlineLevel="0" collapsed="false">
      <c r="A96" s="12" t="s">
        <v>2999</v>
      </c>
      <c r="B96" s="12" t="s">
        <v>49</v>
      </c>
      <c r="C96" s="12" t="s">
        <v>142</v>
      </c>
      <c r="D96" s="13" t="s">
        <v>3000</v>
      </c>
      <c r="E96" s="13" t="s">
        <v>3001</v>
      </c>
      <c r="F96" s="13" t="s">
        <v>3002</v>
      </c>
      <c r="G96" s="13" t="s">
        <v>144</v>
      </c>
      <c r="H96" s="13"/>
      <c r="I96" s="13" t="s">
        <v>1636</v>
      </c>
      <c r="J96" s="13" t="s">
        <v>3003</v>
      </c>
      <c r="K96" s="13" t="s">
        <v>3004</v>
      </c>
      <c r="L96" s="14" t="s">
        <v>3005</v>
      </c>
      <c r="M96" s="14" t="s">
        <v>41</v>
      </c>
      <c r="N96" s="14"/>
      <c r="O96" s="14" t="s">
        <v>3005</v>
      </c>
      <c r="P96" s="14" t="s">
        <v>41</v>
      </c>
      <c r="Q96" s="14"/>
      <c r="R96" s="14" t="s">
        <v>2606</v>
      </c>
    </row>
    <row r="97" customFormat="false" ht="23.85" hidden="false" customHeight="false" outlineLevel="0" collapsed="false">
      <c r="A97" s="12" t="s">
        <v>2999</v>
      </c>
      <c r="B97" s="12" t="s">
        <v>49</v>
      </c>
      <c r="C97" s="12" t="s">
        <v>164</v>
      </c>
      <c r="D97" s="13" t="s">
        <v>3000</v>
      </c>
      <c r="E97" s="13" t="s">
        <v>3001</v>
      </c>
      <c r="F97" s="13" t="s">
        <v>3002</v>
      </c>
      <c r="G97" s="13" t="s">
        <v>144</v>
      </c>
      <c r="H97" s="13"/>
      <c r="I97" s="13" t="s">
        <v>1681</v>
      </c>
      <c r="J97" s="13" t="s">
        <v>3006</v>
      </c>
      <c r="K97" s="13" t="s">
        <v>3004</v>
      </c>
      <c r="L97" s="14" t="s">
        <v>3007</v>
      </c>
      <c r="M97" s="14" t="s">
        <v>41</v>
      </c>
      <c r="N97" s="14"/>
      <c r="O97" s="14" t="s">
        <v>3007</v>
      </c>
      <c r="P97" s="14" t="s">
        <v>41</v>
      </c>
      <c r="Q97" s="14"/>
      <c r="R97" s="14" t="s">
        <v>2606</v>
      </c>
    </row>
    <row r="98" customFormat="false" ht="35.05" hidden="false" customHeight="false" outlineLevel="0" collapsed="false">
      <c r="A98" s="12" t="s">
        <v>2999</v>
      </c>
      <c r="B98" s="12" t="s">
        <v>49</v>
      </c>
      <c r="C98" s="12" t="s">
        <v>386</v>
      </c>
      <c r="D98" s="13" t="s">
        <v>3000</v>
      </c>
      <c r="E98" s="13" t="s">
        <v>3001</v>
      </c>
      <c r="F98" s="13" t="s">
        <v>3002</v>
      </c>
      <c r="G98" s="13" t="s">
        <v>144</v>
      </c>
      <c r="H98" s="13" t="s">
        <v>95</v>
      </c>
      <c r="I98" s="13" t="s">
        <v>1647</v>
      </c>
      <c r="J98" s="13" t="s">
        <v>3008</v>
      </c>
      <c r="K98" s="13" t="s">
        <v>3004</v>
      </c>
      <c r="L98" s="14" t="s">
        <v>3009</v>
      </c>
      <c r="M98" s="14" t="s">
        <v>41</v>
      </c>
      <c r="N98" s="14"/>
      <c r="O98" s="14" t="s">
        <v>3009</v>
      </c>
      <c r="P98" s="14" t="s">
        <v>41</v>
      </c>
      <c r="Q98" s="14"/>
      <c r="R98" s="14" t="s">
        <v>2606</v>
      </c>
    </row>
    <row r="99" customFormat="false" ht="23.85" hidden="false" customHeight="false" outlineLevel="0" collapsed="false">
      <c r="A99" s="12" t="s">
        <v>3010</v>
      </c>
      <c r="B99" s="12" t="s">
        <v>49</v>
      </c>
      <c r="C99" s="12" t="s">
        <v>142</v>
      </c>
      <c r="D99" s="13" t="s">
        <v>3011</v>
      </c>
      <c r="E99" s="13" t="s">
        <v>3012</v>
      </c>
      <c r="F99" s="13" t="s">
        <v>3013</v>
      </c>
      <c r="G99" s="13" t="s">
        <v>144</v>
      </c>
      <c r="H99" s="13"/>
      <c r="I99" s="13" t="s">
        <v>1636</v>
      </c>
      <c r="J99" s="13" t="s">
        <v>3014</v>
      </c>
      <c r="K99" s="13" t="s">
        <v>3015</v>
      </c>
      <c r="L99" s="14" t="s">
        <v>3016</v>
      </c>
      <c r="M99" s="14" t="s">
        <v>41</v>
      </c>
      <c r="N99" s="14"/>
      <c r="O99" s="14" t="s">
        <v>3016</v>
      </c>
      <c r="P99" s="14" t="s">
        <v>41</v>
      </c>
      <c r="Q99" s="14"/>
      <c r="R99" s="14" t="s">
        <v>2606</v>
      </c>
    </row>
    <row r="100" customFormat="false" ht="23.85" hidden="false" customHeight="false" outlineLevel="0" collapsed="false">
      <c r="A100" s="12" t="s">
        <v>3010</v>
      </c>
      <c r="B100" s="12" t="s">
        <v>49</v>
      </c>
      <c r="C100" s="12" t="s">
        <v>164</v>
      </c>
      <c r="D100" s="13" t="s">
        <v>3011</v>
      </c>
      <c r="E100" s="13" t="s">
        <v>3012</v>
      </c>
      <c r="F100" s="13" t="s">
        <v>3013</v>
      </c>
      <c r="G100" s="13" t="s">
        <v>144</v>
      </c>
      <c r="H100" s="13"/>
      <c r="I100" s="13" t="s">
        <v>1681</v>
      </c>
      <c r="J100" s="13" t="s">
        <v>2755</v>
      </c>
      <c r="K100" s="13" t="s">
        <v>3015</v>
      </c>
      <c r="L100" s="14"/>
      <c r="M100" s="14" t="s">
        <v>44</v>
      </c>
      <c r="N100" s="14"/>
      <c r="O100" s="14" t="s">
        <v>3017</v>
      </c>
      <c r="P100" s="14" t="s">
        <v>41</v>
      </c>
      <c r="Q100" s="14"/>
      <c r="R100" s="14" t="s">
        <v>2606</v>
      </c>
    </row>
    <row r="101" customFormat="false" ht="35.05" hidden="false" customHeight="false" outlineLevel="0" collapsed="false">
      <c r="A101" s="12" t="s">
        <v>3010</v>
      </c>
      <c r="B101" s="12" t="s">
        <v>49</v>
      </c>
      <c r="C101" s="12" t="s">
        <v>386</v>
      </c>
      <c r="D101" s="13" t="s">
        <v>3011</v>
      </c>
      <c r="E101" s="13" t="s">
        <v>3012</v>
      </c>
      <c r="F101" s="13" t="s">
        <v>3013</v>
      </c>
      <c r="G101" s="13" t="s">
        <v>144</v>
      </c>
      <c r="H101" s="13" t="s">
        <v>93</v>
      </c>
      <c r="I101" s="13" t="s">
        <v>1264</v>
      </c>
      <c r="J101" s="13" t="s">
        <v>3018</v>
      </c>
      <c r="K101" s="13" t="s">
        <v>3015</v>
      </c>
      <c r="L101" s="14" t="s">
        <v>3019</v>
      </c>
      <c r="M101" s="14" t="s">
        <v>41</v>
      </c>
      <c r="N101" s="14"/>
      <c r="O101" s="14" t="s">
        <v>3019</v>
      </c>
      <c r="P101" s="14" t="s">
        <v>41</v>
      </c>
      <c r="Q101" s="14"/>
      <c r="R101" s="14" t="s">
        <v>2606</v>
      </c>
    </row>
    <row r="102" customFormat="false" ht="23.85" hidden="false" customHeight="false" outlineLevel="0" collapsed="false">
      <c r="A102" s="12" t="s">
        <v>3020</v>
      </c>
      <c r="B102" s="12" t="s">
        <v>49</v>
      </c>
      <c r="C102" s="12" t="s">
        <v>142</v>
      </c>
      <c r="D102" s="13" t="s">
        <v>3021</v>
      </c>
      <c r="E102" s="13" t="s">
        <v>3022</v>
      </c>
      <c r="F102" s="13" t="s">
        <v>3023</v>
      </c>
      <c r="G102" s="13" t="s">
        <v>144</v>
      </c>
      <c r="H102" s="13"/>
      <c r="I102" s="13" t="s">
        <v>1636</v>
      </c>
      <c r="J102" s="13" t="s">
        <v>3024</v>
      </c>
      <c r="K102" s="13" t="s">
        <v>3025</v>
      </c>
      <c r="L102" s="14" t="s">
        <v>3026</v>
      </c>
      <c r="M102" s="14" t="s">
        <v>41</v>
      </c>
      <c r="N102" s="14"/>
      <c r="O102" s="14" t="s">
        <v>3026</v>
      </c>
      <c r="P102" s="14" t="s">
        <v>41</v>
      </c>
      <c r="Q102" s="14"/>
      <c r="R102" s="14" t="s">
        <v>2606</v>
      </c>
    </row>
    <row r="103" customFormat="false" ht="23.85" hidden="false" customHeight="false" outlineLevel="0" collapsed="false">
      <c r="A103" s="12" t="s">
        <v>3020</v>
      </c>
      <c r="B103" s="12" t="s">
        <v>49</v>
      </c>
      <c r="C103" s="12" t="s">
        <v>164</v>
      </c>
      <c r="D103" s="13" t="s">
        <v>3021</v>
      </c>
      <c r="E103" s="13" t="s">
        <v>3022</v>
      </c>
      <c r="F103" s="13" t="s">
        <v>3023</v>
      </c>
      <c r="G103" s="13" t="s">
        <v>144</v>
      </c>
      <c r="H103" s="13"/>
      <c r="I103" s="13" t="s">
        <v>1681</v>
      </c>
      <c r="J103" s="13" t="s">
        <v>3027</v>
      </c>
      <c r="K103" s="13" t="s">
        <v>3025</v>
      </c>
      <c r="L103" s="14" t="s">
        <v>3028</v>
      </c>
      <c r="M103" s="14" t="s">
        <v>41</v>
      </c>
      <c r="N103" s="14"/>
      <c r="O103" s="14" t="s">
        <v>3028</v>
      </c>
      <c r="P103" s="14" t="s">
        <v>41</v>
      </c>
      <c r="Q103" s="14"/>
      <c r="R103" s="14" t="s">
        <v>2606</v>
      </c>
    </row>
    <row r="104" customFormat="false" ht="23.85" hidden="false" customHeight="false" outlineLevel="0" collapsed="false">
      <c r="A104" s="12" t="s">
        <v>3020</v>
      </c>
      <c r="B104" s="12" t="s">
        <v>49</v>
      </c>
      <c r="C104" s="12" t="s">
        <v>386</v>
      </c>
      <c r="D104" s="13" t="s">
        <v>3021</v>
      </c>
      <c r="E104" s="13" t="s">
        <v>3022</v>
      </c>
      <c r="F104" s="13" t="s">
        <v>3023</v>
      </c>
      <c r="G104" s="13" t="s">
        <v>144</v>
      </c>
      <c r="H104" s="13"/>
      <c r="I104" s="13" t="s">
        <v>1636</v>
      </c>
      <c r="J104" s="13" t="s">
        <v>3029</v>
      </c>
      <c r="K104" s="13" t="s">
        <v>3025</v>
      </c>
      <c r="L104" s="14" t="s">
        <v>3030</v>
      </c>
      <c r="M104" s="14" t="s">
        <v>43</v>
      </c>
      <c r="N104" s="14"/>
      <c r="O104" s="14" t="s">
        <v>3031</v>
      </c>
      <c r="P104" s="14" t="s">
        <v>41</v>
      </c>
      <c r="Q104" s="14"/>
      <c r="R104" s="14" t="s">
        <v>2606</v>
      </c>
    </row>
    <row r="105" customFormat="false" ht="23.85" hidden="false" customHeight="false" outlineLevel="0" collapsed="false">
      <c r="A105" s="12" t="s">
        <v>3020</v>
      </c>
      <c r="B105" s="12" t="s">
        <v>49</v>
      </c>
      <c r="C105" s="12" t="s">
        <v>409</v>
      </c>
      <c r="D105" s="13" t="s">
        <v>3021</v>
      </c>
      <c r="E105" s="13" t="s">
        <v>3022</v>
      </c>
      <c r="F105" s="13" t="s">
        <v>3023</v>
      </c>
      <c r="G105" s="13" t="s">
        <v>144</v>
      </c>
      <c r="H105" s="13"/>
      <c r="I105" s="13" t="s">
        <v>1681</v>
      </c>
      <c r="J105" s="13" t="s">
        <v>2783</v>
      </c>
      <c r="K105" s="13" t="s">
        <v>3025</v>
      </c>
      <c r="L105" s="14"/>
      <c r="M105" s="14" t="s">
        <v>44</v>
      </c>
      <c r="N105" s="14"/>
      <c r="O105" s="14" t="s">
        <v>2784</v>
      </c>
      <c r="P105" s="14" t="s">
        <v>41</v>
      </c>
      <c r="Q105" s="14"/>
      <c r="R105" s="14" t="s">
        <v>2606</v>
      </c>
    </row>
    <row r="106" customFormat="false" ht="35.05" hidden="false" customHeight="false" outlineLevel="0" collapsed="false">
      <c r="A106" s="12" t="s">
        <v>3032</v>
      </c>
      <c r="B106" s="12" t="s">
        <v>49</v>
      </c>
      <c r="C106" s="12" t="s">
        <v>142</v>
      </c>
      <c r="D106" s="13" t="s">
        <v>3033</v>
      </c>
      <c r="E106" s="13" t="s">
        <v>3034</v>
      </c>
      <c r="F106" s="13" t="s">
        <v>3035</v>
      </c>
      <c r="G106" s="13" t="s">
        <v>144</v>
      </c>
      <c r="H106" s="13" t="s">
        <v>97</v>
      </c>
      <c r="I106" s="13" t="s">
        <v>1669</v>
      </c>
      <c r="J106" s="13" t="s">
        <v>3036</v>
      </c>
      <c r="K106" s="13" t="s">
        <v>3037</v>
      </c>
      <c r="L106" s="14" t="s">
        <v>3038</v>
      </c>
      <c r="M106" s="14" t="s">
        <v>42</v>
      </c>
      <c r="N106" s="14" t="s">
        <v>3039</v>
      </c>
      <c r="O106" s="14" t="s">
        <v>3040</v>
      </c>
      <c r="P106" s="14" t="s">
        <v>41</v>
      </c>
      <c r="Q106" s="14"/>
      <c r="R106" s="14" t="s">
        <v>2606</v>
      </c>
    </row>
    <row r="107" customFormat="false" ht="35.05" hidden="false" customHeight="false" outlineLevel="0" collapsed="false">
      <c r="A107" s="12" t="s">
        <v>3032</v>
      </c>
      <c r="B107" s="12" t="s">
        <v>49</v>
      </c>
      <c r="C107" s="12" t="s">
        <v>164</v>
      </c>
      <c r="D107" s="13" t="s">
        <v>3033</v>
      </c>
      <c r="E107" s="13" t="s">
        <v>3034</v>
      </c>
      <c r="F107" s="13" t="s">
        <v>3035</v>
      </c>
      <c r="G107" s="13" t="s">
        <v>144</v>
      </c>
      <c r="H107" s="13"/>
      <c r="I107" s="13" t="s">
        <v>1636</v>
      </c>
      <c r="J107" s="13" t="s">
        <v>3041</v>
      </c>
      <c r="K107" s="13" t="s">
        <v>3037</v>
      </c>
      <c r="L107" s="14" t="s">
        <v>3038</v>
      </c>
      <c r="M107" s="14" t="s">
        <v>42</v>
      </c>
      <c r="N107" s="14" t="s">
        <v>3042</v>
      </c>
      <c r="O107" s="14" t="s">
        <v>2702</v>
      </c>
      <c r="P107" s="14" t="s">
        <v>41</v>
      </c>
      <c r="Q107" s="14"/>
      <c r="R107" s="14" t="s">
        <v>2606</v>
      </c>
    </row>
    <row r="108" customFormat="false" ht="35.05" hidden="false" customHeight="false" outlineLevel="0" collapsed="false">
      <c r="A108" s="12" t="s">
        <v>3032</v>
      </c>
      <c r="B108" s="12" t="s">
        <v>49</v>
      </c>
      <c r="C108" s="12" t="s">
        <v>386</v>
      </c>
      <c r="D108" s="13" t="s">
        <v>3033</v>
      </c>
      <c r="E108" s="13" t="s">
        <v>3034</v>
      </c>
      <c r="F108" s="13" t="s">
        <v>3035</v>
      </c>
      <c r="G108" s="13" t="s">
        <v>144</v>
      </c>
      <c r="H108" s="13"/>
      <c r="I108" s="13" t="s">
        <v>1681</v>
      </c>
      <c r="J108" s="13" t="s">
        <v>2703</v>
      </c>
      <c r="K108" s="13" t="s">
        <v>3037</v>
      </c>
      <c r="L108" s="14" t="s">
        <v>3038</v>
      </c>
      <c r="M108" s="14" t="s">
        <v>42</v>
      </c>
      <c r="N108" s="14" t="s">
        <v>3043</v>
      </c>
      <c r="O108" s="14" t="s">
        <v>2704</v>
      </c>
      <c r="P108" s="14" t="s">
        <v>41</v>
      </c>
      <c r="Q108" s="14"/>
      <c r="R108" s="14" t="s">
        <v>2606</v>
      </c>
    </row>
    <row r="109" customFormat="false" ht="23.85" hidden="false" customHeight="false" outlineLevel="0" collapsed="false">
      <c r="A109" s="12" t="s">
        <v>3044</v>
      </c>
      <c r="B109" s="12" t="s">
        <v>49</v>
      </c>
      <c r="C109" s="12" t="s">
        <v>142</v>
      </c>
      <c r="D109" s="13" t="s">
        <v>3045</v>
      </c>
      <c r="E109" s="13" t="s">
        <v>3046</v>
      </c>
      <c r="F109" s="13" t="s">
        <v>3047</v>
      </c>
      <c r="G109" s="13" t="s">
        <v>144</v>
      </c>
      <c r="H109" s="13"/>
      <c r="I109" s="13" t="s">
        <v>1636</v>
      </c>
      <c r="J109" s="13" t="s">
        <v>3048</v>
      </c>
      <c r="K109" s="13" t="s">
        <v>3049</v>
      </c>
      <c r="L109" s="14" t="s">
        <v>3050</v>
      </c>
      <c r="M109" s="14" t="s">
        <v>41</v>
      </c>
      <c r="N109" s="14"/>
      <c r="O109" s="14" t="s">
        <v>3050</v>
      </c>
      <c r="P109" s="14" t="s">
        <v>41</v>
      </c>
      <c r="Q109" s="14"/>
      <c r="R109" s="14" t="s">
        <v>2606</v>
      </c>
    </row>
    <row r="110" customFormat="false" ht="23.85" hidden="false" customHeight="false" outlineLevel="0" collapsed="false">
      <c r="A110" s="12" t="s">
        <v>3044</v>
      </c>
      <c r="B110" s="12" t="s">
        <v>49</v>
      </c>
      <c r="C110" s="12" t="s">
        <v>164</v>
      </c>
      <c r="D110" s="13" t="s">
        <v>3045</v>
      </c>
      <c r="E110" s="13" t="s">
        <v>3046</v>
      </c>
      <c r="F110" s="13" t="s">
        <v>3047</v>
      </c>
      <c r="G110" s="13" t="s">
        <v>144</v>
      </c>
      <c r="H110" s="13"/>
      <c r="I110" s="13" t="s">
        <v>1681</v>
      </c>
      <c r="J110" s="13" t="s">
        <v>3051</v>
      </c>
      <c r="K110" s="13" t="s">
        <v>3049</v>
      </c>
      <c r="L110" s="14"/>
      <c r="M110" s="14" t="s">
        <v>44</v>
      </c>
      <c r="N110" s="14" t="s">
        <v>2654</v>
      </c>
      <c r="O110" s="14" t="s">
        <v>3052</v>
      </c>
      <c r="P110" s="14" t="s">
        <v>41</v>
      </c>
      <c r="Q110" s="14"/>
      <c r="R110" s="14" t="s">
        <v>2606</v>
      </c>
    </row>
    <row r="111" customFormat="false" ht="23.85" hidden="false" customHeight="false" outlineLevel="0" collapsed="false">
      <c r="A111" s="12" t="s">
        <v>3044</v>
      </c>
      <c r="B111" s="12" t="s">
        <v>49</v>
      </c>
      <c r="C111" s="12" t="s">
        <v>386</v>
      </c>
      <c r="D111" s="13" t="s">
        <v>3045</v>
      </c>
      <c r="E111" s="13" t="s">
        <v>3046</v>
      </c>
      <c r="F111" s="13" t="s">
        <v>3047</v>
      </c>
      <c r="G111" s="13" t="s">
        <v>144</v>
      </c>
      <c r="H111" s="13"/>
      <c r="I111" s="13" t="s">
        <v>1636</v>
      </c>
      <c r="J111" s="13" t="s">
        <v>3053</v>
      </c>
      <c r="K111" s="13" t="s">
        <v>3049</v>
      </c>
      <c r="L111" s="14" t="s">
        <v>2786</v>
      </c>
      <c r="M111" s="14" t="s">
        <v>41</v>
      </c>
      <c r="N111" s="14"/>
      <c r="O111" s="14" t="s">
        <v>2786</v>
      </c>
      <c r="P111" s="14" t="s">
        <v>41</v>
      </c>
      <c r="Q111" s="14"/>
      <c r="R111" s="14" t="s">
        <v>2606</v>
      </c>
    </row>
    <row r="112" customFormat="false" ht="23.85" hidden="false" customHeight="false" outlineLevel="0" collapsed="false">
      <c r="A112" s="12" t="s">
        <v>3044</v>
      </c>
      <c r="B112" s="12" t="s">
        <v>49</v>
      </c>
      <c r="C112" s="12" t="s">
        <v>409</v>
      </c>
      <c r="D112" s="13" t="s">
        <v>3045</v>
      </c>
      <c r="E112" s="13" t="s">
        <v>3046</v>
      </c>
      <c r="F112" s="13" t="s">
        <v>3047</v>
      </c>
      <c r="G112" s="13" t="s">
        <v>144</v>
      </c>
      <c r="H112" s="13"/>
      <c r="I112" s="13" t="s">
        <v>1681</v>
      </c>
      <c r="J112" s="13" t="s">
        <v>2787</v>
      </c>
      <c r="K112" s="13" t="s">
        <v>3049</v>
      </c>
      <c r="L112" s="14"/>
      <c r="M112" s="14" t="s">
        <v>44</v>
      </c>
      <c r="N112" s="14"/>
      <c r="O112" s="14" t="s">
        <v>2788</v>
      </c>
      <c r="P112" s="14" t="s">
        <v>41</v>
      </c>
      <c r="Q112" s="14"/>
      <c r="R112" s="14" t="s">
        <v>2606</v>
      </c>
    </row>
    <row r="113" customFormat="false" ht="35.05" hidden="false" customHeight="false" outlineLevel="0" collapsed="false">
      <c r="A113" s="12" t="s">
        <v>3044</v>
      </c>
      <c r="B113" s="12" t="s">
        <v>49</v>
      </c>
      <c r="C113" s="12" t="s">
        <v>958</v>
      </c>
      <c r="D113" s="13" t="s">
        <v>3045</v>
      </c>
      <c r="E113" s="13" t="s">
        <v>3046</v>
      </c>
      <c r="F113" s="13" t="s">
        <v>3047</v>
      </c>
      <c r="G113" s="13" t="s">
        <v>144</v>
      </c>
      <c r="H113" s="13" t="s">
        <v>93</v>
      </c>
      <c r="I113" s="13" t="s">
        <v>1264</v>
      </c>
      <c r="J113" s="13" t="s">
        <v>1418</v>
      </c>
      <c r="K113" s="13" t="s">
        <v>3049</v>
      </c>
      <c r="L113" s="14" t="s">
        <v>3054</v>
      </c>
      <c r="M113" s="14" t="s">
        <v>41</v>
      </c>
      <c r="N113" s="14"/>
      <c r="O113" s="14" t="s">
        <v>3054</v>
      </c>
      <c r="P113" s="14" t="s">
        <v>41</v>
      </c>
      <c r="Q113" s="14"/>
      <c r="R113" s="14" t="s">
        <v>2606</v>
      </c>
    </row>
  </sheetData>
  <conditionalFormatting sqref="M5:M113">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113">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3055</v>
      </c>
    </row>
    <row r="2" customFormat="false" ht="15" hidden="false" customHeight="false" outlineLevel="0" collapsed="false">
      <c r="A2" s="2" t="s">
        <v>3056</v>
      </c>
    </row>
    <row r="3" customFormat="false" ht="15" hidden="false" customHeight="false" outlineLevel="0" collapsed="false">
      <c r="A3" s="2" t="s">
        <v>3057</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1256</v>
      </c>
      <c r="P4" s="8" t="s">
        <v>1257</v>
      </c>
      <c r="Q4" s="8" t="s">
        <v>1258</v>
      </c>
      <c r="R4" s="8" t="s">
        <v>1259</v>
      </c>
    </row>
    <row r="5" customFormat="false" ht="35.05" hidden="false" customHeight="false" outlineLevel="0" collapsed="false">
      <c r="A5" s="12" t="s">
        <v>3058</v>
      </c>
      <c r="B5" s="12" t="s">
        <v>45</v>
      </c>
      <c r="C5" s="12" t="s">
        <v>142</v>
      </c>
      <c r="D5" s="13" t="s">
        <v>3059</v>
      </c>
      <c r="E5" s="13" t="s">
        <v>3060</v>
      </c>
      <c r="F5" s="13" t="s">
        <v>3061</v>
      </c>
      <c r="G5" s="13" t="s">
        <v>144</v>
      </c>
      <c r="H5" s="13" t="s">
        <v>1627</v>
      </c>
      <c r="I5" s="13" t="s">
        <v>1628</v>
      </c>
      <c r="J5" s="13" t="s">
        <v>3062</v>
      </c>
      <c r="K5" s="13" t="s">
        <v>3063</v>
      </c>
      <c r="L5" s="14" t="s">
        <v>3064</v>
      </c>
      <c r="M5" s="14" t="s">
        <v>41</v>
      </c>
      <c r="N5" s="14"/>
      <c r="O5" s="14" t="s">
        <v>3065</v>
      </c>
      <c r="P5" s="14" t="s">
        <v>41</v>
      </c>
      <c r="Q5" s="14"/>
      <c r="R5" s="14" t="s">
        <v>3066</v>
      </c>
    </row>
    <row r="6" customFormat="false" ht="35.05" hidden="false" customHeight="false" outlineLevel="0" collapsed="false">
      <c r="A6" s="12" t="s">
        <v>3067</v>
      </c>
      <c r="B6" s="12" t="s">
        <v>45</v>
      </c>
      <c r="C6" s="12" t="s">
        <v>142</v>
      </c>
      <c r="D6" s="13" t="s">
        <v>3068</v>
      </c>
      <c r="E6" s="13" t="s">
        <v>3069</v>
      </c>
      <c r="F6" s="13" t="s">
        <v>3070</v>
      </c>
      <c r="G6" s="13" t="s">
        <v>144</v>
      </c>
      <c r="H6" s="13" t="s">
        <v>1627</v>
      </c>
      <c r="I6" s="13" t="s">
        <v>1628</v>
      </c>
      <c r="J6" s="13" t="s">
        <v>1629</v>
      </c>
      <c r="K6" s="13" t="s">
        <v>3071</v>
      </c>
      <c r="L6" s="14" t="s">
        <v>2568</v>
      </c>
      <c r="M6" s="14" t="s">
        <v>41</v>
      </c>
      <c r="N6" s="14"/>
      <c r="O6" s="14" t="s">
        <v>3072</v>
      </c>
      <c r="P6" s="14" t="s">
        <v>41</v>
      </c>
      <c r="Q6" s="14"/>
      <c r="R6" s="14" t="s">
        <v>3066</v>
      </c>
    </row>
    <row r="7" customFormat="false" ht="46.25" hidden="false" customHeight="false" outlineLevel="0" collapsed="false">
      <c r="A7" s="12" t="s">
        <v>3073</v>
      </c>
      <c r="B7" s="12" t="s">
        <v>45</v>
      </c>
      <c r="C7" s="12" t="s">
        <v>142</v>
      </c>
      <c r="D7" s="13" t="s">
        <v>3074</v>
      </c>
      <c r="E7" s="13" t="s">
        <v>3075</v>
      </c>
      <c r="F7" s="13" t="s">
        <v>3076</v>
      </c>
      <c r="G7" s="13" t="s">
        <v>144</v>
      </c>
      <c r="H7" s="13" t="s">
        <v>1627</v>
      </c>
      <c r="I7" s="13" t="s">
        <v>1628</v>
      </c>
      <c r="J7" s="13" t="s">
        <v>3077</v>
      </c>
      <c r="K7" s="13" t="s">
        <v>3078</v>
      </c>
      <c r="L7" s="14" t="s">
        <v>3079</v>
      </c>
      <c r="M7" s="14" t="s">
        <v>41</v>
      </c>
      <c r="N7" s="14"/>
      <c r="O7" s="14" t="s">
        <v>3080</v>
      </c>
      <c r="P7" s="14" t="s">
        <v>41</v>
      </c>
      <c r="Q7" s="14"/>
      <c r="R7" s="14" t="s">
        <v>3066</v>
      </c>
    </row>
    <row r="8" customFormat="false" ht="35.05" hidden="false" customHeight="false" outlineLevel="0" collapsed="false">
      <c r="A8" s="12" t="s">
        <v>3081</v>
      </c>
      <c r="B8" s="12" t="s">
        <v>45</v>
      </c>
      <c r="C8" s="12" t="s">
        <v>142</v>
      </c>
      <c r="D8" s="13" t="s">
        <v>3082</v>
      </c>
      <c r="E8" s="13" t="s">
        <v>3083</v>
      </c>
      <c r="F8" s="13" t="s">
        <v>3084</v>
      </c>
      <c r="G8" s="13" t="s">
        <v>144</v>
      </c>
      <c r="H8" s="13"/>
      <c r="I8" s="13" t="s">
        <v>1628</v>
      </c>
      <c r="J8" s="13" t="s">
        <v>3085</v>
      </c>
      <c r="K8" s="13" t="s">
        <v>3086</v>
      </c>
      <c r="L8" s="14" t="s">
        <v>2929</v>
      </c>
      <c r="M8" s="14" t="s">
        <v>42</v>
      </c>
      <c r="N8" s="14" t="s">
        <v>3087</v>
      </c>
      <c r="O8" s="14" t="s">
        <v>3088</v>
      </c>
      <c r="P8" s="14" t="s">
        <v>41</v>
      </c>
      <c r="Q8" s="14"/>
      <c r="R8" s="14" t="s">
        <v>3066</v>
      </c>
    </row>
    <row r="9" customFormat="false" ht="35.05" hidden="false" customHeight="false" outlineLevel="0" collapsed="false">
      <c r="A9" s="12" t="s">
        <v>3089</v>
      </c>
      <c r="B9" s="12" t="s">
        <v>45</v>
      </c>
      <c r="C9" s="12" t="s">
        <v>142</v>
      </c>
      <c r="D9" s="13" t="s">
        <v>3090</v>
      </c>
      <c r="E9" s="13" t="s">
        <v>3091</v>
      </c>
      <c r="F9" s="13" t="s">
        <v>3092</v>
      </c>
      <c r="G9" s="13" t="s">
        <v>144</v>
      </c>
      <c r="H9" s="13" t="s">
        <v>1627</v>
      </c>
      <c r="I9" s="13" t="s">
        <v>1628</v>
      </c>
      <c r="J9" s="13" t="s">
        <v>3093</v>
      </c>
      <c r="K9" s="13" t="s">
        <v>3094</v>
      </c>
      <c r="L9" s="14" t="s">
        <v>2064</v>
      </c>
      <c r="M9" s="14" t="s">
        <v>44</v>
      </c>
      <c r="N9" s="14" t="s">
        <v>464</v>
      </c>
      <c r="O9" s="14" t="s">
        <v>3095</v>
      </c>
      <c r="P9" s="14" t="s">
        <v>41</v>
      </c>
      <c r="Q9" s="14"/>
      <c r="R9" s="14" t="s">
        <v>3066</v>
      </c>
    </row>
    <row r="10" customFormat="false" ht="35.05" hidden="false" customHeight="false" outlineLevel="0" collapsed="false">
      <c r="A10" s="12" t="s">
        <v>3096</v>
      </c>
      <c r="B10" s="12" t="s">
        <v>45</v>
      </c>
      <c r="C10" s="12" t="s">
        <v>142</v>
      </c>
      <c r="D10" s="13" t="s">
        <v>3097</v>
      </c>
      <c r="E10" s="13" t="s">
        <v>3098</v>
      </c>
      <c r="F10" s="13" t="s">
        <v>3099</v>
      </c>
      <c r="G10" s="13" t="s">
        <v>144</v>
      </c>
      <c r="H10" s="13" t="s">
        <v>1627</v>
      </c>
      <c r="I10" s="13" t="s">
        <v>1628</v>
      </c>
      <c r="J10" s="13" t="s">
        <v>3100</v>
      </c>
      <c r="K10" s="13" t="s">
        <v>3101</v>
      </c>
      <c r="L10" s="14" t="s">
        <v>3102</v>
      </c>
      <c r="M10" s="14" t="s">
        <v>41</v>
      </c>
      <c r="N10" s="14"/>
      <c r="O10" s="14" t="s">
        <v>3103</v>
      </c>
      <c r="P10" s="14" t="s">
        <v>41</v>
      </c>
      <c r="Q10" s="14"/>
      <c r="R10" s="14" t="s">
        <v>3066</v>
      </c>
    </row>
    <row r="11" customFormat="false" ht="46.25" hidden="false" customHeight="false" outlineLevel="0" collapsed="false">
      <c r="A11" s="12" t="s">
        <v>3104</v>
      </c>
      <c r="B11" s="12" t="s">
        <v>45</v>
      </c>
      <c r="C11" s="12" t="s">
        <v>142</v>
      </c>
      <c r="D11" s="13" t="s">
        <v>3105</v>
      </c>
      <c r="E11" s="13" t="s">
        <v>3106</v>
      </c>
      <c r="F11" s="13" t="s">
        <v>3107</v>
      </c>
      <c r="G11" s="13" t="s">
        <v>144</v>
      </c>
      <c r="H11" s="13" t="s">
        <v>1627</v>
      </c>
      <c r="I11" s="13" t="s">
        <v>1628</v>
      </c>
      <c r="J11" s="13" t="s">
        <v>3108</v>
      </c>
      <c r="K11" s="13" t="s">
        <v>3109</v>
      </c>
      <c r="L11" s="14" t="s">
        <v>3110</v>
      </c>
      <c r="M11" s="14" t="s">
        <v>43</v>
      </c>
      <c r="N11" s="14" t="s">
        <v>3111</v>
      </c>
      <c r="O11" s="14" t="s">
        <v>3112</v>
      </c>
      <c r="P11" s="14" t="s">
        <v>41</v>
      </c>
      <c r="Q11" s="14"/>
      <c r="R11" s="14" t="s">
        <v>3066</v>
      </c>
    </row>
    <row r="12" customFormat="false" ht="35.05" hidden="false" customHeight="false" outlineLevel="0" collapsed="false">
      <c r="A12" s="12" t="s">
        <v>3113</v>
      </c>
      <c r="B12" s="12" t="s">
        <v>45</v>
      </c>
      <c r="C12" s="12" t="s">
        <v>142</v>
      </c>
      <c r="D12" s="13" t="s">
        <v>3114</v>
      </c>
      <c r="E12" s="13" t="s">
        <v>3115</v>
      </c>
      <c r="F12" s="13" t="s">
        <v>3116</v>
      </c>
      <c r="G12" s="13" t="s">
        <v>144</v>
      </c>
      <c r="H12" s="13" t="s">
        <v>1627</v>
      </c>
      <c r="I12" s="13" t="s">
        <v>1628</v>
      </c>
      <c r="J12" s="13" t="s">
        <v>3117</v>
      </c>
      <c r="K12" s="13" t="s">
        <v>3118</v>
      </c>
      <c r="L12" s="14" t="s">
        <v>2064</v>
      </c>
      <c r="M12" s="14" t="s">
        <v>44</v>
      </c>
      <c r="N12" s="14" t="s">
        <v>464</v>
      </c>
      <c r="O12" s="14" t="s">
        <v>3119</v>
      </c>
      <c r="P12" s="14" t="s">
        <v>41</v>
      </c>
      <c r="Q12" s="14"/>
      <c r="R12" s="14" t="s">
        <v>3066</v>
      </c>
    </row>
    <row r="13" customFormat="false" ht="35.05" hidden="false" customHeight="false" outlineLevel="0" collapsed="false">
      <c r="A13" s="12" t="s">
        <v>3120</v>
      </c>
      <c r="B13" s="12" t="s">
        <v>45</v>
      </c>
      <c r="C13" s="12" t="s">
        <v>142</v>
      </c>
      <c r="D13" s="13" t="s">
        <v>3121</v>
      </c>
      <c r="E13" s="13" t="s">
        <v>3122</v>
      </c>
      <c r="F13" s="13" t="s">
        <v>3123</v>
      </c>
      <c r="G13" s="13" t="s">
        <v>144</v>
      </c>
      <c r="H13" s="13"/>
      <c r="I13" s="13" t="s">
        <v>1628</v>
      </c>
      <c r="J13" s="13" t="s">
        <v>3124</v>
      </c>
      <c r="K13" s="13" t="s">
        <v>3125</v>
      </c>
      <c r="L13" s="14" t="s">
        <v>3126</v>
      </c>
      <c r="M13" s="14" t="s">
        <v>44</v>
      </c>
      <c r="N13" s="14" t="s">
        <v>3127</v>
      </c>
      <c r="O13" s="14" t="s">
        <v>3128</v>
      </c>
      <c r="P13" s="14" t="s">
        <v>41</v>
      </c>
      <c r="Q13" s="14"/>
      <c r="R13" s="14" t="s">
        <v>3066</v>
      </c>
    </row>
    <row r="14" customFormat="false" ht="46.25" hidden="false" customHeight="false" outlineLevel="0" collapsed="false">
      <c r="A14" s="12" t="s">
        <v>3129</v>
      </c>
      <c r="B14" s="12" t="s">
        <v>45</v>
      </c>
      <c r="C14" s="12" t="s">
        <v>142</v>
      </c>
      <c r="D14" s="13" t="s">
        <v>3130</v>
      </c>
      <c r="E14" s="13" t="s">
        <v>3131</v>
      </c>
      <c r="F14" s="13" t="s">
        <v>3132</v>
      </c>
      <c r="G14" s="13" t="s">
        <v>144</v>
      </c>
      <c r="H14" s="13" t="s">
        <v>1627</v>
      </c>
      <c r="I14" s="13" t="s">
        <v>1628</v>
      </c>
      <c r="J14" s="13" t="s">
        <v>3133</v>
      </c>
      <c r="K14" s="13" t="s">
        <v>3134</v>
      </c>
      <c r="L14" s="14" t="s">
        <v>2064</v>
      </c>
      <c r="M14" s="14" t="s">
        <v>44</v>
      </c>
      <c r="N14" s="14" t="s">
        <v>3135</v>
      </c>
      <c r="O14" s="14" t="s">
        <v>3136</v>
      </c>
      <c r="P14" s="14" t="s">
        <v>41</v>
      </c>
      <c r="Q14" s="14"/>
      <c r="R14" s="14" t="s">
        <v>3066</v>
      </c>
    </row>
    <row r="15" customFormat="false" ht="35.05" hidden="false" customHeight="false" outlineLevel="0" collapsed="false">
      <c r="A15" s="12" t="s">
        <v>3137</v>
      </c>
      <c r="B15" s="12" t="s">
        <v>46</v>
      </c>
      <c r="C15" s="12" t="s">
        <v>142</v>
      </c>
      <c r="D15" s="13" t="s">
        <v>3138</v>
      </c>
      <c r="E15" s="13" t="s">
        <v>3139</v>
      </c>
      <c r="F15" s="13" t="s">
        <v>3140</v>
      </c>
      <c r="G15" s="13" t="s">
        <v>144</v>
      </c>
      <c r="H15" s="13" t="s">
        <v>1627</v>
      </c>
      <c r="I15" s="13" t="s">
        <v>1628</v>
      </c>
      <c r="J15" s="13" t="s">
        <v>3141</v>
      </c>
      <c r="K15" s="13" t="s">
        <v>3142</v>
      </c>
      <c r="L15" s="14" t="s">
        <v>3143</v>
      </c>
      <c r="M15" s="14" t="s">
        <v>43</v>
      </c>
      <c r="N15" s="14" t="s">
        <v>3144</v>
      </c>
      <c r="O15" s="14" t="s">
        <v>3145</v>
      </c>
      <c r="P15" s="14" t="s">
        <v>41</v>
      </c>
      <c r="Q15" s="14"/>
      <c r="R15" s="14" t="s">
        <v>3066</v>
      </c>
    </row>
    <row r="16" customFormat="false" ht="23.85" hidden="false" customHeight="false" outlineLevel="0" collapsed="false">
      <c r="A16" s="12" t="s">
        <v>3137</v>
      </c>
      <c r="B16" s="12" t="s">
        <v>46</v>
      </c>
      <c r="C16" s="12" t="s">
        <v>1396</v>
      </c>
      <c r="D16" s="13" t="s">
        <v>3138</v>
      </c>
      <c r="E16" s="13" t="s">
        <v>3139</v>
      </c>
      <c r="F16" s="13" t="s">
        <v>3140</v>
      </c>
      <c r="G16" s="13" t="s">
        <v>144</v>
      </c>
      <c r="H16" s="13"/>
      <c r="I16" s="13" t="s">
        <v>387</v>
      </c>
      <c r="J16" s="13"/>
      <c r="K16" s="13" t="s">
        <v>3142</v>
      </c>
      <c r="L16" s="14"/>
      <c r="M16" s="14" t="s">
        <v>43</v>
      </c>
      <c r="N16" s="14" t="s">
        <v>3146</v>
      </c>
      <c r="O16" s="14"/>
      <c r="P16" s="14"/>
      <c r="Q16" s="14"/>
      <c r="R16" s="14"/>
    </row>
    <row r="17" customFormat="false" ht="35.05" hidden="false" customHeight="false" outlineLevel="0" collapsed="false">
      <c r="A17" s="12" t="s">
        <v>3147</v>
      </c>
      <c r="B17" s="12" t="s">
        <v>46</v>
      </c>
      <c r="C17" s="12" t="s">
        <v>142</v>
      </c>
      <c r="D17" s="13" t="s">
        <v>3148</v>
      </c>
      <c r="E17" s="13" t="s">
        <v>3149</v>
      </c>
      <c r="F17" s="13" t="s">
        <v>3150</v>
      </c>
      <c r="G17" s="13" t="s">
        <v>144</v>
      </c>
      <c r="H17" s="13" t="s">
        <v>1627</v>
      </c>
      <c r="I17" s="13" t="s">
        <v>1628</v>
      </c>
      <c r="J17" s="13" t="s">
        <v>3151</v>
      </c>
      <c r="K17" s="13" t="s">
        <v>3152</v>
      </c>
      <c r="L17" s="14"/>
      <c r="M17" s="14" t="s">
        <v>44</v>
      </c>
      <c r="N17" s="14" t="s">
        <v>464</v>
      </c>
      <c r="O17" s="14" t="s">
        <v>3153</v>
      </c>
      <c r="P17" s="14" t="s">
        <v>41</v>
      </c>
      <c r="Q17" s="14"/>
      <c r="R17" s="14" t="s">
        <v>3066</v>
      </c>
    </row>
    <row r="18" customFormat="false" ht="23.85" hidden="false" customHeight="false" outlineLevel="0" collapsed="false">
      <c r="A18" s="12" t="s">
        <v>3147</v>
      </c>
      <c r="B18" s="12" t="s">
        <v>46</v>
      </c>
      <c r="C18" s="12" t="s">
        <v>1396</v>
      </c>
      <c r="D18" s="13" t="s">
        <v>3148</v>
      </c>
      <c r="E18" s="13" t="s">
        <v>3149</v>
      </c>
      <c r="F18" s="13" t="s">
        <v>3150</v>
      </c>
      <c r="G18" s="13" t="s">
        <v>144</v>
      </c>
      <c r="H18" s="13"/>
      <c r="I18" s="13" t="s">
        <v>387</v>
      </c>
      <c r="J18" s="13"/>
      <c r="K18" s="13" t="s">
        <v>3152</v>
      </c>
      <c r="L18" s="14"/>
      <c r="M18" s="14" t="s">
        <v>43</v>
      </c>
      <c r="N18" s="14" t="s">
        <v>3154</v>
      </c>
      <c r="O18" s="14"/>
      <c r="P18" s="14"/>
      <c r="Q18" s="14"/>
      <c r="R18" s="14"/>
    </row>
    <row r="19" customFormat="false" ht="46.25" hidden="false" customHeight="false" outlineLevel="0" collapsed="false">
      <c r="A19" s="12" t="s">
        <v>3155</v>
      </c>
      <c r="B19" s="12" t="s">
        <v>46</v>
      </c>
      <c r="C19" s="12" t="s">
        <v>142</v>
      </c>
      <c r="D19" s="13" t="s">
        <v>3156</v>
      </c>
      <c r="E19" s="13" t="s">
        <v>3157</v>
      </c>
      <c r="F19" s="13" t="s">
        <v>3158</v>
      </c>
      <c r="G19" s="13" t="s">
        <v>144</v>
      </c>
      <c r="H19" s="13"/>
      <c r="I19" s="13" t="s">
        <v>1628</v>
      </c>
      <c r="J19" s="13" t="s">
        <v>3159</v>
      </c>
      <c r="K19" s="13" t="s">
        <v>3160</v>
      </c>
      <c r="L19" s="14" t="s">
        <v>3161</v>
      </c>
      <c r="M19" s="14" t="s">
        <v>41</v>
      </c>
      <c r="N19" s="14"/>
      <c r="O19" s="14" t="s">
        <v>3162</v>
      </c>
      <c r="P19" s="14" t="s">
        <v>41</v>
      </c>
      <c r="Q19" s="14"/>
      <c r="R19" s="14" t="s">
        <v>3066</v>
      </c>
    </row>
    <row r="20" customFormat="false" ht="35.05" hidden="false" customHeight="false" outlineLevel="0" collapsed="false">
      <c r="A20" s="12" t="s">
        <v>3163</v>
      </c>
      <c r="B20" s="12" t="s">
        <v>46</v>
      </c>
      <c r="C20" s="12" t="s">
        <v>142</v>
      </c>
      <c r="D20" s="13" t="s">
        <v>3164</v>
      </c>
      <c r="E20" s="13" t="s">
        <v>3165</v>
      </c>
      <c r="F20" s="13" t="s">
        <v>3166</v>
      </c>
      <c r="G20" s="13" t="s">
        <v>144</v>
      </c>
      <c r="H20" s="13"/>
      <c r="I20" s="13" t="s">
        <v>1628</v>
      </c>
      <c r="J20" s="13" t="s">
        <v>3167</v>
      </c>
      <c r="K20" s="13" t="s">
        <v>3168</v>
      </c>
      <c r="L20" s="14" t="s">
        <v>3169</v>
      </c>
      <c r="M20" s="14" t="s">
        <v>44</v>
      </c>
      <c r="N20" s="14" t="s">
        <v>3127</v>
      </c>
      <c r="O20" s="14" t="s">
        <v>3170</v>
      </c>
      <c r="P20" s="14" t="s">
        <v>41</v>
      </c>
      <c r="Q20" s="14"/>
      <c r="R20" s="14" t="s">
        <v>3066</v>
      </c>
    </row>
    <row r="21" customFormat="false" ht="35.05" hidden="false" customHeight="false" outlineLevel="0" collapsed="false">
      <c r="A21" s="12" t="s">
        <v>3171</v>
      </c>
      <c r="B21" s="12" t="s">
        <v>46</v>
      </c>
      <c r="C21" s="12" t="s">
        <v>142</v>
      </c>
      <c r="D21" s="13" t="s">
        <v>3172</v>
      </c>
      <c r="E21" s="13" t="s">
        <v>3173</v>
      </c>
      <c r="F21" s="13" t="s">
        <v>3174</v>
      </c>
      <c r="G21" s="13" t="s">
        <v>144</v>
      </c>
      <c r="H21" s="13" t="s">
        <v>1627</v>
      </c>
      <c r="I21" s="13" t="s">
        <v>1628</v>
      </c>
      <c r="J21" s="13" t="s">
        <v>3175</v>
      </c>
      <c r="K21" s="13" t="s">
        <v>3176</v>
      </c>
      <c r="L21" s="14" t="s">
        <v>3177</v>
      </c>
      <c r="M21" s="14" t="s">
        <v>42</v>
      </c>
      <c r="N21" s="14" t="s">
        <v>456</v>
      </c>
      <c r="O21" s="14" t="s">
        <v>3178</v>
      </c>
      <c r="P21" s="14" t="s">
        <v>41</v>
      </c>
      <c r="Q21" s="14"/>
      <c r="R21" s="14" t="s">
        <v>3066</v>
      </c>
    </row>
    <row r="22" customFormat="false" ht="35.05" hidden="false" customHeight="false" outlineLevel="0" collapsed="false">
      <c r="A22" s="12" t="s">
        <v>3179</v>
      </c>
      <c r="B22" s="12" t="s">
        <v>46</v>
      </c>
      <c r="C22" s="12" t="s">
        <v>142</v>
      </c>
      <c r="D22" s="13" t="s">
        <v>3180</v>
      </c>
      <c r="E22" s="13" t="s">
        <v>3181</v>
      </c>
      <c r="F22" s="13" t="s">
        <v>3182</v>
      </c>
      <c r="G22" s="13" t="s">
        <v>144</v>
      </c>
      <c r="H22" s="13" t="s">
        <v>1627</v>
      </c>
      <c r="I22" s="13" t="s">
        <v>1628</v>
      </c>
      <c r="J22" s="13" t="s">
        <v>3183</v>
      </c>
      <c r="K22" s="13" t="s">
        <v>3184</v>
      </c>
      <c r="L22" s="14" t="s">
        <v>3185</v>
      </c>
      <c r="M22" s="14" t="s">
        <v>41</v>
      </c>
      <c r="N22" s="14"/>
      <c r="O22" s="14" t="s">
        <v>3186</v>
      </c>
      <c r="P22" s="14" t="s">
        <v>41</v>
      </c>
      <c r="Q22" s="14"/>
      <c r="R22" s="14" t="s">
        <v>3066</v>
      </c>
    </row>
    <row r="23" customFormat="false" ht="35.05" hidden="false" customHeight="false" outlineLevel="0" collapsed="false">
      <c r="A23" s="12" t="s">
        <v>3187</v>
      </c>
      <c r="B23" s="12" t="s">
        <v>46</v>
      </c>
      <c r="C23" s="12" t="s">
        <v>142</v>
      </c>
      <c r="D23" s="13" t="s">
        <v>3188</v>
      </c>
      <c r="E23" s="13" t="s">
        <v>3189</v>
      </c>
      <c r="F23" s="13" t="s">
        <v>3190</v>
      </c>
      <c r="G23" s="13" t="s">
        <v>144</v>
      </c>
      <c r="H23" s="13" t="s">
        <v>1627</v>
      </c>
      <c r="I23" s="13" t="s">
        <v>1628</v>
      </c>
      <c r="J23" s="13" t="s">
        <v>3191</v>
      </c>
      <c r="K23" s="13" t="s">
        <v>3192</v>
      </c>
      <c r="L23" s="14" t="s">
        <v>2929</v>
      </c>
      <c r="M23" s="14" t="s">
        <v>42</v>
      </c>
      <c r="N23" s="14" t="s">
        <v>3087</v>
      </c>
      <c r="O23" s="14" t="s">
        <v>3193</v>
      </c>
      <c r="P23" s="14" t="s">
        <v>41</v>
      </c>
      <c r="Q23" s="14"/>
      <c r="R23" s="14" t="s">
        <v>3066</v>
      </c>
    </row>
    <row r="24" customFormat="false" ht="35.05" hidden="false" customHeight="false" outlineLevel="0" collapsed="false">
      <c r="A24" s="12" t="s">
        <v>3187</v>
      </c>
      <c r="B24" s="12" t="s">
        <v>46</v>
      </c>
      <c r="C24" s="12" t="s">
        <v>164</v>
      </c>
      <c r="D24" s="13" t="s">
        <v>3188</v>
      </c>
      <c r="E24" s="13" t="s">
        <v>3189</v>
      </c>
      <c r="F24" s="13" t="s">
        <v>3190</v>
      </c>
      <c r="G24" s="13" t="s">
        <v>144</v>
      </c>
      <c r="H24" s="13"/>
      <c r="I24" s="13" t="s">
        <v>1628</v>
      </c>
      <c r="J24" s="13" t="s">
        <v>3194</v>
      </c>
      <c r="K24" s="13" t="s">
        <v>3192</v>
      </c>
      <c r="L24" s="14" t="s">
        <v>2929</v>
      </c>
      <c r="M24" s="14" t="s">
        <v>42</v>
      </c>
      <c r="N24" s="14" t="s">
        <v>3087</v>
      </c>
      <c r="O24" s="14" t="s">
        <v>3195</v>
      </c>
      <c r="P24" s="14" t="s">
        <v>41</v>
      </c>
      <c r="Q24" s="14"/>
      <c r="R24" s="14" t="s">
        <v>3066</v>
      </c>
    </row>
    <row r="25" customFormat="false" ht="35.05" hidden="false" customHeight="false" outlineLevel="0" collapsed="false">
      <c r="A25" s="12" t="s">
        <v>3196</v>
      </c>
      <c r="B25" s="12" t="s">
        <v>46</v>
      </c>
      <c r="C25" s="12" t="s">
        <v>142</v>
      </c>
      <c r="D25" s="13" t="s">
        <v>3197</v>
      </c>
      <c r="E25" s="13" t="s">
        <v>3198</v>
      </c>
      <c r="F25" s="13" t="s">
        <v>3199</v>
      </c>
      <c r="G25" s="13" t="s">
        <v>144</v>
      </c>
      <c r="H25" s="13" t="s">
        <v>1627</v>
      </c>
      <c r="I25" s="13" t="s">
        <v>1628</v>
      </c>
      <c r="J25" s="13" t="s">
        <v>3200</v>
      </c>
      <c r="K25" s="13" t="s">
        <v>3201</v>
      </c>
      <c r="L25" s="14" t="s">
        <v>3177</v>
      </c>
      <c r="M25" s="14" t="s">
        <v>42</v>
      </c>
      <c r="N25" s="14" t="s">
        <v>456</v>
      </c>
      <c r="O25" s="14" t="s">
        <v>3202</v>
      </c>
      <c r="P25" s="14" t="s">
        <v>41</v>
      </c>
      <c r="Q25" s="14"/>
      <c r="R25" s="14" t="s">
        <v>3066</v>
      </c>
    </row>
    <row r="26" customFormat="false" ht="35.05" hidden="false" customHeight="false" outlineLevel="0" collapsed="false">
      <c r="A26" s="12" t="s">
        <v>3196</v>
      </c>
      <c r="B26" s="12" t="s">
        <v>46</v>
      </c>
      <c r="C26" s="12" t="s">
        <v>164</v>
      </c>
      <c r="D26" s="13" t="s">
        <v>3197</v>
      </c>
      <c r="E26" s="13" t="s">
        <v>3198</v>
      </c>
      <c r="F26" s="13" t="s">
        <v>3199</v>
      </c>
      <c r="G26" s="13" t="s">
        <v>144</v>
      </c>
      <c r="H26" s="13" t="s">
        <v>1627</v>
      </c>
      <c r="I26" s="13" t="s">
        <v>1628</v>
      </c>
      <c r="J26" s="13" t="s">
        <v>3203</v>
      </c>
      <c r="K26" s="13" t="s">
        <v>3201</v>
      </c>
      <c r="L26" s="14" t="s">
        <v>3177</v>
      </c>
      <c r="M26" s="14" t="s">
        <v>42</v>
      </c>
      <c r="N26" s="14" t="s">
        <v>456</v>
      </c>
      <c r="O26" s="14" t="s">
        <v>3204</v>
      </c>
      <c r="P26" s="14" t="s">
        <v>41</v>
      </c>
      <c r="Q26" s="14"/>
      <c r="R26" s="14" t="s">
        <v>3066</v>
      </c>
    </row>
    <row r="27" customFormat="false" ht="46.25" hidden="false" customHeight="false" outlineLevel="0" collapsed="false">
      <c r="A27" s="12" t="s">
        <v>3205</v>
      </c>
      <c r="B27" s="12" t="s">
        <v>46</v>
      </c>
      <c r="C27" s="12" t="s">
        <v>142</v>
      </c>
      <c r="D27" s="13" t="s">
        <v>3206</v>
      </c>
      <c r="E27" s="13" t="s">
        <v>3207</v>
      </c>
      <c r="F27" s="13" t="s">
        <v>3208</v>
      </c>
      <c r="G27" s="13" t="s">
        <v>144</v>
      </c>
      <c r="H27" s="13"/>
      <c r="I27" s="13" t="s">
        <v>1628</v>
      </c>
      <c r="J27" s="13" t="s">
        <v>3209</v>
      </c>
      <c r="K27" s="13" t="s">
        <v>3210</v>
      </c>
      <c r="L27" s="14" t="s">
        <v>2929</v>
      </c>
      <c r="M27" s="14" t="s">
        <v>42</v>
      </c>
      <c r="N27" s="14" t="s">
        <v>3087</v>
      </c>
      <c r="O27" s="14" t="s">
        <v>3211</v>
      </c>
      <c r="P27" s="14" t="s">
        <v>41</v>
      </c>
      <c r="Q27" s="14"/>
      <c r="R27" s="14" t="s">
        <v>3066</v>
      </c>
    </row>
    <row r="28" customFormat="false" ht="35.05" hidden="false" customHeight="false" outlineLevel="0" collapsed="false">
      <c r="A28" s="12" t="s">
        <v>3212</v>
      </c>
      <c r="B28" s="12" t="s">
        <v>46</v>
      </c>
      <c r="C28" s="12" t="s">
        <v>142</v>
      </c>
      <c r="D28" s="13" t="s">
        <v>3213</v>
      </c>
      <c r="E28" s="13" t="s">
        <v>3214</v>
      </c>
      <c r="F28" s="13" t="s">
        <v>3215</v>
      </c>
      <c r="G28" s="13" t="s">
        <v>144</v>
      </c>
      <c r="H28" s="13" t="s">
        <v>1627</v>
      </c>
      <c r="I28" s="13" t="s">
        <v>1628</v>
      </c>
      <c r="J28" s="13" t="s">
        <v>2985</v>
      </c>
      <c r="K28" s="13" t="s">
        <v>3216</v>
      </c>
      <c r="L28" s="14" t="s">
        <v>3217</v>
      </c>
      <c r="M28" s="14" t="s">
        <v>41</v>
      </c>
      <c r="N28" s="14"/>
      <c r="O28" s="14" t="s">
        <v>3218</v>
      </c>
      <c r="P28" s="14" t="s">
        <v>41</v>
      </c>
      <c r="Q28" s="14"/>
      <c r="R28" s="14" t="s">
        <v>3066</v>
      </c>
    </row>
    <row r="29" customFormat="false" ht="23.85" hidden="false" customHeight="false" outlineLevel="0" collapsed="false">
      <c r="A29" s="12" t="s">
        <v>3212</v>
      </c>
      <c r="B29" s="12" t="s">
        <v>46</v>
      </c>
      <c r="C29" s="12" t="s">
        <v>1396</v>
      </c>
      <c r="D29" s="13" t="s">
        <v>3213</v>
      </c>
      <c r="E29" s="13" t="s">
        <v>3214</v>
      </c>
      <c r="F29" s="13" t="s">
        <v>3215</v>
      </c>
      <c r="G29" s="13" t="s">
        <v>144</v>
      </c>
      <c r="H29" s="13"/>
      <c r="I29" s="13" t="s">
        <v>387</v>
      </c>
      <c r="J29" s="13"/>
      <c r="K29" s="13" t="s">
        <v>3216</v>
      </c>
      <c r="L29" s="14"/>
      <c r="M29" s="14" t="s">
        <v>43</v>
      </c>
      <c r="N29" s="14"/>
      <c r="O29" s="14"/>
      <c r="P29" s="14"/>
      <c r="Q29" s="14"/>
      <c r="R29" s="14"/>
    </row>
    <row r="30" customFormat="false" ht="23.85" hidden="false" customHeight="false" outlineLevel="0" collapsed="false">
      <c r="A30" s="12" t="s">
        <v>3219</v>
      </c>
      <c r="B30" s="12" t="s">
        <v>47</v>
      </c>
      <c r="C30" s="12" t="s">
        <v>142</v>
      </c>
      <c r="D30" s="13" t="s">
        <v>3220</v>
      </c>
      <c r="E30" s="13" t="s">
        <v>3221</v>
      </c>
      <c r="F30" s="13" t="s">
        <v>3222</v>
      </c>
      <c r="G30" s="13" t="s">
        <v>206</v>
      </c>
      <c r="H30" s="13"/>
      <c r="I30" s="13" t="s">
        <v>387</v>
      </c>
      <c r="J30" s="13" t="s">
        <v>2802</v>
      </c>
      <c r="K30" s="13" t="s">
        <v>2803</v>
      </c>
      <c r="L30" s="14" t="s">
        <v>3223</v>
      </c>
      <c r="M30" s="14" t="s">
        <v>44</v>
      </c>
      <c r="N30" s="14" t="s">
        <v>3224</v>
      </c>
      <c r="O30" s="14" t="s">
        <v>3177</v>
      </c>
      <c r="P30" s="14" t="s">
        <v>41</v>
      </c>
      <c r="Q30" s="14"/>
      <c r="R30" s="14" t="s">
        <v>3066</v>
      </c>
    </row>
    <row r="31" customFormat="false" ht="35.05" hidden="false" customHeight="false" outlineLevel="0" collapsed="false">
      <c r="A31" s="12" t="s">
        <v>3225</v>
      </c>
      <c r="B31" s="12" t="s">
        <v>47</v>
      </c>
      <c r="C31" s="12" t="s">
        <v>142</v>
      </c>
      <c r="D31" s="13" t="s">
        <v>3226</v>
      </c>
      <c r="E31" s="13" t="s">
        <v>3227</v>
      </c>
      <c r="F31" s="13" t="s">
        <v>3228</v>
      </c>
      <c r="G31" s="13" t="s">
        <v>144</v>
      </c>
      <c r="H31" s="13"/>
      <c r="I31" s="13" t="s">
        <v>1628</v>
      </c>
      <c r="J31" s="13" t="s">
        <v>3229</v>
      </c>
      <c r="K31" s="13" t="s">
        <v>3230</v>
      </c>
      <c r="L31" s="14" t="s">
        <v>3231</v>
      </c>
      <c r="M31" s="14" t="s">
        <v>41</v>
      </c>
      <c r="N31" s="14"/>
      <c r="O31" s="14" t="s">
        <v>3232</v>
      </c>
      <c r="P31" s="14" t="s">
        <v>41</v>
      </c>
      <c r="Q31" s="14"/>
      <c r="R31" s="14" t="s">
        <v>3066</v>
      </c>
    </row>
    <row r="32" customFormat="false" ht="23.85" hidden="false" customHeight="false" outlineLevel="0" collapsed="false">
      <c r="A32" s="12" t="s">
        <v>3225</v>
      </c>
      <c r="B32" s="12" t="s">
        <v>47</v>
      </c>
      <c r="C32" s="12" t="s">
        <v>1396</v>
      </c>
      <c r="D32" s="13" t="s">
        <v>3226</v>
      </c>
      <c r="E32" s="13" t="s">
        <v>3227</v>
      </c>
      <c r="F32" s="13" t="s">
        <v>3228</v>
      </c>
      <c r="G32" s="13" t="s">
        <v>144</v>
      </c>
      <c r="H32" s="13"/>
      <c r="I32" s="13" t="s">
        <v>387</v>
      </c>
      <c r="J32" s="13"/>
      <c r="K32" s="13" t="s">
        <v>3230</v>
      </c>
      <c r="L32" s="14"/>
      <c r="M32" s="14"/>
      <c r="N32" s="14"/>
      <c r="O32" s="14"/>
      <c r="P32" s="14" t="s">
        <v>43</v>
      </c>
      <c r="Q32" s="14"/>
      <c r="R32" s="14" t="s">
        <v>3066</v>
      </c>
    </row>
    <row r="33" customFormat="false" ht="23.85" hidden="false" customHeight="false" outlineLevel="0" collapsed="false">
      <c r="A33" s="12" t="s">
        <v>3233</v>
      </c>
      <c r="B33" s="12" t="s">
        <v>47</v>
      </c>
      <c r="C33" s="12" t="s">
        <v>142</v>
      </c>
      <c r="D33" s="13" t="s">
        <v>3234</v>
      </c>
      <c r="E33" s="13" t="s">
        <v>3235</v>
      </c>
      <c r="F33" s="13" t="s">
        <v>3236</v>
      </c>
      <c r="G33" s="13" t="s">
        <v>178</v>
      </c>
      <c r="H33" s="13" t="s">
        <v>591</v>
      </c>
      <c r="I33" s="13" t="s">
        <v>1460</v>
      </c>
      <c r="J33" s="13"/>
      <c r="K33" s="13" t="s">
        <v>3237</v>
      </c>
      <c r="L33" s="14" t="s">
        <v>3177</v>
      </c>
      <c r="M33" s="14" t="s">
        <v>41</v>
      </c>
      <c r="N33" s="14"/>
      <c r="O33" s="14" t="s">
        <v>3177</v>
      </c>
      <c r="P33" s="14" t="s">
        <v>41</v>
      </c>
      <c r="Q33" s="14"/>
      <c r="R33" s="14" t="s">
        <v>3066</v>
      </c>
    </row>
    <row r="34" customFormat="false" ht="23.85" hidden="false" customHeight="false" outlineLevel="0" collapsed="false">
      <c r="A34" s="12" t="s">
        <v>3238</v>
      </c>
      <c r="B34" s="12" t="s">
        <v>47</v>
      </c>
      <c r="C34" s="12" t="s">
        <v>142</v>
      </c>
      <c r="D34" s="13" t="s">
        <v>3239</v>
      </c>
      <c r="E34" s="13" t="s">
        <v>3240</v>
      </c>
      <c r="F34" s="13" t="s">
        <v>3241</v>
      </c>
      <c r="G34" s="13" t="s">
        <v>178</v>
      </c>
      <c r="H34" s="13" t="s">
        <v>591</v>
      </c>
      <c r="I34" s="13" t="s">
        <v>1460</v>
      </c>
      <c r="J34" s="13"/>
      <c r="K34" s="13" t="s">
        <v>1911</v>
      </c>
      <c r="L34" s="14" t="s">
        <v>1471</v>
      </c>
      <c r="M34" s="14" t="s">
        <v>41</v>
      </c>
      <c r="N34" s="14"/>
      <c r="O34" s="14" t="s">
        <v>1471</v>
      </c>
      <c r="P34" s="14" t="s">
        <v>41</v>
      </c>
      <c r="Q34" s="14"/>
      <c r="R34" s="14" t="s">
        <v>3066</v>
      </c>
    </row>
    <row r="35" customFormat="false" ht="35.05" hidden="false" customHeight="false" outlineLevel="0" collapsed="false">
      <c r="A35" s="12" t="s">
        <v>3242</v>
      </c>
      <c r="B35" s="12" t="s">
        <v>47</v>
      </c>
      <c r="C35" s="12" t="s">
        <v>142</v>
      </c>
      <c r="D35" s="13" t="s">
        <v>3243</v>
      </c>
      <c r="E35" s="13" t="s">
        <v>3244</v>
      </c>
      <c r="F35" s="13" t="s">
        <v>3245</v>
      </c>
      <c r="G35" s="13" t="s">
        <v>144</v>
      </c>
      <c r="H35" s="13" t="s">
        <v>1627</v>
      </c>
      <c r="I35" s="13" t="s">
        <v>1628</v>
      </c>
      <c r="J35" s="13" t="s">
        <v>3246</v>
      </c>
      <c r="K35" s="13" t="s">
        <v>3247</v>
      </c>
      <c r="L35" s="14" t="s">
        <v>3248</v>
      </c>
      <c r="M35" s="14" t="s">
        <v>41</v>
      </c>
      <c r="N35" s="14"/>
      <c r="O35" s="14" t="s">
        <v>3204</v>
      </c>
      <c r="P35" s="14" t="s">
        <v>41</v>
      </c>
      <c r="Q35" s="14"/>
      <c r="R35" s="14" t="s">
        <v>3066</v>
      </c>
    </row>
    <row r="36" customFormat="false" ht="35.05" hidden="false" customHeight="false" outlineLevel="0" collapsed="false">
      <c r="A36" s="12" t="s">
        <v>3249</v>
      </c>
      <c r="B36" s="12" t="s">
        <v>47</v>
      </c>
      <c r="C36" s="12" t="s">
        <v>142</v>
      </c>
      <c r="D36" s="13" t="s">
        <v>3250</v>
      </c>
      <c r="E36" s="13" t="s">
        <v>3251</v>
      </c>
      <c r="F36" s="13" t="s">
        <v>3252</v>
      </c>
      <c r="G36" s="13" t="s">
        <v>144</v>
      </c>
      <c r="H36" s="13" t="s">
        <v>1627</v>
      </c>
      <c r="I36" s="13" t="s">
        <v>1628</v>
      </c>
      <c r="J36" s="13" t="s">
        <v>3253</v>
      </c>
      <c r="K36" s="13" t="s">
        <v>3254</v>
      </c>
      <c r="L36" s="14" t="s">
        <v>3255</v>
      </c>
      <c r="M36" s="14" t="s">
        <v>41</v>
      </c>
      <c r="N36" s="14"/>
      <c r="O36" s="14" t="s">
        <v>3256</v>
      </c>
      <c r="P36" s="14" t="s">
        <v>41</v>
      </c>
      <c r="Q36" s="14"/>
      <c r="R36" s="14" t="s">
        <v>3066</v>
      </c>
    </row>
    <row r="37" customFormat="false" ht="35.05" hidden="false" customHeight="false" outlineLevel="0" collapsed="false">
      <c r="A37" s="12" t="s">
        <v>3257</v>
      </c>
      <c r="B37" s="12" t="s">
        <v>47</v>
      </c>
      <c r="C37" s="12" t="s">
        <v>142</v>
      </c>
      <c r="D37" s="13" t="s">
        <v>3258</v>
      </c>
      <c r="E37" s="13" t="s">
        <v>3259</v>
      </c>
      <c r="F37" s="13" t="s">
        <v>3260</v>
      </c>
      <c r="G37" s="13" t="s">
        <v>206</v>
      </c>
      <c r="H37" s="13"/>
      <c r="I37" s="13" t="s">
        <v>387</v>
      </c>
      <c r="J37" s="13" t="s">
        <v>3261</v>
      </c>
      <c r="K37" s="13" t="s">
        <v>3262</v>
      </c>
      <c r="L37" s="14" t="s">
        <v>3231</v>
      </c>
      <c r="M37" s="14" t="s">
        <v>43</v>
      </c>
      <c r="N37" s="14" t="s">
        <v>3263</v>
      </c>
      <c r="O37" s="14" t="s">
        <v>3177</v>
      </c>
      <c r="P37" s="14" t="s">
        <v>41</v>
      </c>
      <c r="Q37" s="14"/>
      <c r="R37" s="14" t="s">
        <v>3066</v>
      </c>
    </row>
    <row r="38" customFormat="false" ht="35.05" hidden="false" customHeight="false" outlineLevel="0" collapsed="false">
      <c r="A38" s="12" t="s">
        <v>3264</v>
      </c>
      <c r="B38" s="12" t="s">
        <v>47</v>
      </c>
      <c r="C38" s="12" t="s">
        <v>142</v>
      </c>
      <c r="D38" s="13" t="s">
        <v>3265</v>
      </c>
      <c r="E38" s="13" t="s">
        <v>3266</v>
      </c>
      <c r="F38" s="13" t="s">
        <v>3267</v>
      </c>
      <c r="G38" s="13" t="s">
        <v>144</v>
      </c>
      <c r="H38" s="13" t="s">
        <v>1627</v>
      </c>
      <c r="I38" s="13" t="s">
        <v>1628</v>
      </c>
      <c r="J38" s="13" t="s">
        <v>1629</v>
      </c>
      <c r="K38" s="13" t="s">
        <v>3268</v>
      </c>
      <c r="L38" s="14" t="s">
        <v>3269</v>
      </c>
      <c r="M38" s="14" t="s">
        <v>41</v>
      </c>
      <c r="N38" s="14"/>
      <c r="O38" s="14" t="s">
        <v>3270</v>
      </c>
      <c r="P38" s="14" t="s">
        <v>41</v>
      </c>
      <c r="Q38" s="14"/>
      <c r="R38" s="14" t="s">
        <v>3066</v>
      </c>
    </row>
    <row r="39" customFormat="false" ht="35.05" hidden="false" customHeight="false" outlineLevel="0" collapsed="false">
      <c r="A39" s="12" t="s">
        <v>3264</v>
      </c>
      <c r="B39" s="12" t="s">
        <v>47</v>
      </c>
      <c r="C39" s="12" t="s">
        <v>164</v>
      </c>
      <c r="D39" s="13" t="s">
        <v>3265</v>
      </c>
      <c r="E39" s="13" t="s">
        <v>3266</v>
      </c>
      <c r="F39" s="13" t="s">
        <v>3267</v>
      </c>
      <c r="G39" s="13" t="s">
        <v>144</v>
      </c>
      <c r="H39" s="13" t="s">
        <v>1627</v>
      </c>
      <c r="I39" s="13" t="s">
        <v>1628</v>
      </c>
      <c r="J39" s="13" t="s">
        <v>3271</v>
      </c>
      <c r="K39" s="13" t="s">
        <v>3268</v>
      </c>
      <c r="L39" s="14" t="s">
        <v>3272</v>
      </c>
      <c r="M39" s="14" t="s">
        <v>41</v>
      </c>
      <c r="N39" s="14"/>
      <c r="O39" s="14" t="s">
        <v>3273</v>
      </c>
      <c r="P39" s="14" t="s">
        <v>41</v>
      </c>
      <c r="Q39" s="14"/>
      <c r="R39" s="14" t="s">
        <v>3066</v>
      </c>
    </row>
    <row r="40" customFormat="false" ht="35.05" hidden="false" customHeight="false" outlineLevel="0" collapsed="false">
      <c r="A40" s="12" t="s">
        <v>3274</v>
      </c>
      <c r="B40" s="12" t="s">
        <v>47</v>
      </c>
      <c r="C40" s="12" t="s">
        <v>142</v>
      </c>
      <c r="D40" s="13" t="s">
        <v>3275</v>
      </c>
      <c r="E40" s="13" t="s">
        <v>3276</v>
      </c>
      <c r="F40" s="13" t="s">
        <v>3277</v>
      </c>
      <c r="G40" s="13" t="s">
        <v>144</v>
      </c>
      <c r="H40" s="13" t="s">
        <v>1627</v>
      </c>
      <c r="I40" s="13" t="s">
        <v>1628</v>
      </c>
      <c r="J40" s="13" t="s">
        <v>3278</v>
      </c>
      <c r="K40" s="13" t="s">
        <v>3279</v>
      </c>
      <c r="L40" s="14" t="s">
        <v>3280</v>
      </c>
      <c r="M40" s="14" t="s">
        <v>41</v>
      </c>
      <c r="N40" s="14"/>
      <c r="O40" s="14" t="s">
        <v>3281</v>
      </c>
      <c r="P40" s="14" t="s">
        <v>41</v>
      </c>
      <c r="Q40" s="14"/>
      <c r="R40" s="14" t="s">
        <v>3066</v>
      </c>
    </row>
    <row r="41" customFormat="false" ht="35.05" hidden="false" customHeight="false" outlineLevel="0" collapsed="false">
      <c r="A41" s="12" t="s">
        <v>3282</v>
      </c>
      <c r="B41" s="12" t="s">
        <v>47</v>
      </c>
      <c r="C41" s="12" t="s">
        <v>142</v>
      </c>
      <c r="D41" s="13" t="s">
        <v>3283</v>
      </c>
      <c r="E41" s="13" t="s">
        <v>3284</v>
      </c>
      <c r="F41" s="13" t="s">
        <v>3285</v>
      </c>
      <c r="G41" s="13" t="s">
        <v>144</v>
      </c>
      <c r="H41" s="13" t="s">
        <v>1627</v>
      </c>
      <c r="I41" s="13" t="s">
        <v>1628</v>
      </c>
      <c r="J41" s="13" t="s">
        <v>3286</v>
      </c>
      <c r="K41" s="13" t="s">
        <v>3287</v>
      </c>
      <c r="L41" s="14" t="s">
        <v>3288</v>
      </c>
      <c r="M41" s="14" t="s">
        <v>41</v>
      </c>
      <c r="N41" s="14"/>
      <c r="O41" s="14" t="s">
        <v>3289</v>
      </c>
      <c r="P41" s="14" t="s">
        <v>41</v>
      </c>
      <c r="Q41" s="14"/>
      <c r="R41" s="14" t="s">
        <v>3066</v>
      </c>
    </row>
    <row r="42" customFormat="false" ht="23.85" hidden="false" customHeight="false" outlineLevel="0" collapsed="false">
      <c r="A42" s="12" t="s">
        <v>3290</v>
      </c>
      <c r="B42" s="12" t="s">
        <v>48</v>
      </c>
      <c r="C42" s="12" t="s">
        <v>142</v>
      </c>
      <c r="D42" s="13" t="s">
        <v>3291</v>
      </c>
      <c r="E42" s="13" t="s">
        <v>3292</v>
      </c>
      <c r="F42" s="13" t="s">
        <v>3293</v>
      </c>
      <c r="G42" s="13" t="s">
        <v>144</v>
      </c>
      <c r="H42" s="13" t="s">
        <v>3294</v>
      </c>
      <c r="I42" s="13" t="s">
        <v>3295</v>
      </c>
      <c r="J42" s="13" t="s">
        <v>3296</v>
      </c>
      <c r="K42" s="13" t="s">
        <v>3297</v>
      </c>
      <c r="L42" s="14" t="s">
        <v>3298</v>
      </c>
      <c r="M42" s="14" t="s">
        <v>41</v>
      </c>
      <c r="N42" s="14"/>
      <c r="O42" s="14" t="s">
        <v>3298</v>
      </c>
      <c r="P42" s="14" t="s">
        <v>41</v>
      </c>
      <c r="Q42" s="14"/>
      <c r="R42" s="14" t="s">
        <v>3066</v>
      </c>
    </row>
    <row r="43" customFormat="false" ht="35.05" hidden="false" customHeight="false" outlineLevel="0" collapsed="false">
      <c r="A43" s="12" t="s">
        <v>3299</v>
      </c>
      <c r="B43" s="12" t="s">
        <v>48</v>
      </c>
      <c r="C43" s="12" t="s">
        <v>142</v>
      </c>
      <c r="D43" s="13" t="s">
        <v>3300</v>
      </c>
      <c r="E43" s="13" t="s">
        <v>3301</v>
      </c>
      <c r="F43" s="13" t="s">
        <v>3302</v>
      </c>
      <c r="G43" s="13" t="s">
        <v>144</v>
      </c>
      <c r="H43" s="13" t="s">
        <v>93</v>
      </c>
      <c r="I43" s="13" t="s">
        <v>1264</v>
      </c>
      <c r="J43" s="13" t="s">
        <v>1418</v>
      </c>
      <c r="K43" s="13" t="s">
        <v>3303</v>
      </c>
      <c r="L43" s="14" t="s">
        <v>1885</v>
      </c>
      <c r="M43" s="14" t="s">
        <v>42</v>
      </c>
      <c r="N43" s="14" t="s">
        <v>3304</v>
      </c>
      <c r="O43" s="14" t="s">
        <v>1885</v>
      </c>
      <c r="P43" s="14" t="s">
        <v>42</v>
      </c>
      <c r="Q43" s="14" t="s">
        <v>3304</v>
      </c>
      <c r="R43" s="14" t="s">
        <v>3066</v>
      </c>
    </row>
    <row r="44" customFormat="false" ht="23.85" hidden="false" customHeight="false" outlineLevel="0" collapsed="false">
      <c r="A44" s="12" t="s">
        <v>3305</v>
      </c>
      <c r="B44" s="12" t="s">
        <v>48</v>
      </c>
      <c r="C44" s="12" t="s">
        <v>142</v>
      </c>
      <c r="D44" s="13" t="s">
        <v>3306</v>
      </c>
      <c r="E44" s="13" t="s">
        <v>3307</v>
      </c>
      <c r="F44" s="13" t="s">
        <v>3308</v>
      </c>
      <c r="G44" s="13" t="s">
        <v>144</v>
      </c>
      <c r="H44" s="13" t="s">
        <v>95</v>
      </c>
      <c r="I44" s="13" t="s">
        <v>1605</v>
      </c>
      <c r="J44" s="13" t="s">
        <v>1716</v>
      </c>
      <c r="K44" s="13" t="s">
        <v>3309</v>
      </c>
      <c r="L44" s="14" t="s">
        <v>2064</v>
      </c>
      <c r="M44" s="14" t="s">
        <v>44</v>
      </c>
      <c r="N44" s="14" t="s">
        <v>1851</v>
      </c>
      <c r="O44" s="14" t="s">
        <v>3310</v>
      </c>
      <c r="P44" s="14" t="s">
        <v>41</v>
      </c>
      <c r="Q44" s="14"/>
      <c r="R44" s="14" t="s">
        <v>3066</v>
      </c>
    </row>
    <row r="45" customFormat="false" ht="23.85" hidden="false" customHeight="false" outlineLevel="0" collapsed="false">
      <c r="A45" s="12" t="s">
        <v>3311</v>
      </c>
      <c r="B45" s="12" t="s">
        <v>48</v>
      </c>
      <c r="C45" s="12" t="s">
        <v>142</v>
      </c>
      <c r="D45" s="13" t="s">
        <v>3312</v>
      </c>
      <c r="E45" s="13" t="s">
        <v>3313</v>
      </c>
      <c r="F45" s="13" t="s">
        <v>3314</v>
      </c>
      <c r="G45" s="13" t="s">
        <v>144</v>
      </c>
      <c r="H45" s="13"/>
      <c r="I45" s="13" t="s">
        <v>1636</v>
      </c>
      <c r="J45" s="13" t="s">
        <v>3315</v>
      </c>
      <c r="K45" s="13" t="s">
        <v>3316</v>
      </c>
      <c r="L45" s="14" t="s">
        <v>3317</v>
      </c>
      <c r="M45" s="14" t="s">
        <v>41</v>
      </c>
      <c r="N45" s="14"/>
      <c r="O45" s="14" t="s">
        <v>3318</v>
      </c>
      <c r="P45" s="14" t="s">
        <v>41</v>
      </c>
      <c r="Q45" s="14"/>
      <c r="R45" s="14" t="s">
        <v>3066</v>
      </c>
    </row>
    <row r="46" customFormat="false" ht="46.25" hidden="false" customHeight="false" outlineLevel="0" collapsed="false">
      <c r="A46" s="12" t="s">
        <v>3319</v>
      </c>
      <c r="B46" s="12" t="s">
        <v>48</v>
      </c>
      <c r="C46" s="12" t="s">
        <v>142</v>
      </c>
      <c r="D46" s="13" t="s">
        <v>3320</v>
      </c>
      <c r="E46" s="13" t="s">
        <v>3321</v>
      </c>
      <c r="F46" s="13" t="s">
        <v>3322</v>
      </c>
      <c r="G46" s="13" t="s">
        <v>144</v>
      </c>
      <c r="H46" s="13" t="s">
        <v>97</v>
      </c>
      <c r="I46" s="13" t="s">
        <v>1613</v>
      </c>
      <c r="J46" s="13" t="s">
        <v>3323</v>
      </c>
      <c r="K46" s="13" t="s">
        <v>3324</v>
      </c>
      <c r="L46" s="14" t="s">
        <v>3325</v>
      </c>
      <c r="M46" s="14" t="s">
        <v>43</v>
      </c>
      <c r="N46" s="14" t="s">
        <v>3326</v>
      </c>
      <c r="O46" s="14" t="s">
        <v>3327</v>
      </c>
      <c r="P46" s="14" t="s">
        <v>41</v>
      </c>
      <c r="Q46" s="14"/>
      <c r="R46" s="14" t="s">
        <v>3066</v>
      </c>
    </row>
    <row r="47" customFormat="false" ht="46.25" hidden="false" customHeight="false" outlineLevel="0" collapsed="false">
      <c r="A47" s="12" t="s">
        <v>3328</v>
      </c>
      <c r="B47" s="12" t="s">
        <v>48</v>
      </c>
      <c r="C47" s="12" t="s">
        <v>142</v>
      </c>
      <c r="D47" s="13" t="s">
        <v>3329</v>
      </c>
      <c r="E47" s="13" t="s">
        <v>3330</v>
      </c>
      <c r="F47" s="13" t="s">
        <v>3331</v>
      </c>
      <c r="G47" s="13" t="s">
        <v>144</v>
      </c>
      <c r="H47" s="13" t="s">
        <v>95</v>
      </c>
      <c r="I47" s="13" t="s">
        <v>1647</v>
      </c>
      <c r="J47" s="13" t="s">
        <v>3332</v>
      </c>
      <c r="K47" s="13" t="s">
        <v>3333</v>
      </c>
      <c r="L47" s="14" t="s">
        <v>3334</v>
      </c>
      <c r="M47" s="14" t="s">
        <v>41</v>
      </c>
      <c r="N47" s="14"/>
      <c r="O47" s="14" t="s">
        <v>3335</v>
      </c>
      <c r="P47" s="14" t="s">
        <v>41</v>
      </c>
      <c r="Q47" s="14"/>
      <c r="R47" s="14" t="s">
        <v>3066</v>
      </c>
    </row>
    <row r="48" customFormat="false" ht="35.05" hidden="false" customHeight="false" outlineLevel="0" collapsed="false">
      <c r="A48" s="12" t="s">
        <v>3328</v>
      </c>
      <c r="B48" s="12" t="s">
        <v>48</v>
      </c>
      <c r="C48" s="12" t="s">
        <v>164</v>
      </c>
      <c r="D48" s="13" t="s">
        <v>3329</v>
      </c>
      <c r="E48" s="13" t="s">
        <v>3330</v>
      </c>
      <c r="F48" s="13" t="s">
        <v>3331</v>
      </c>
      <c r="G48" s="13" t="s">
        <v>144</v>
      </c>
      <c r="H48" s="13" t="s">
        <v>95</v>
      </c>
      <c r="I48" s="13" t="s">
        <v>1605</v>
      </c>
      <c r="J48" s="13" t="s">
        <v>2114</v>
      </c>
      <c r="K48" s="13" t="s">
        <v>3333</v>
      </c>
      <c r="L48" s="14" t="s">
        <v>3336</v>
      </c>
      <c r="M48" s="14" t="s">
        <v>41</v>
      </c>
      <c r="N48" s="14"/>
      <c r="O48" s="14" t="s">
        <v>3337</v>
      </c>
      <c r="P48" s="14" t="s">
        <v>41</v>
      </c>
      <c r="Q48" s="14"/>
      <c r="R48" s="14" t="s">
        <v>3066</v>
      </c>
    </row>
    <row r="49" customFormat="false" ht="35.05" hidden="false" customHeight="false" outlineLevel="0" collapsed="false">
      <c r="A49" s="12" t="s">
        <v>3338</v>
      </c>
      <c r="B49" s="12" t="s">
        <v>48</v>
      </c>
      <c r="C49" s="12" t="s">
        <v>142</v>
      </c>
      <c r="D49" s="13" t="s">
        <v>3339</v>
      </c>
      <c r="E49" s="13" t="s">
        <v>3340</v>
      </c>
      <c r="F49" s="13" t="s">
        <v>3341</v>
      </c>
      <c r="G49" s="13" t="s">
        <v>144</v>
      </c>
      <c r="H49" s="13" t="s">
        <v>93</v>
      </c>
      <c r="I49" s="13" t="s">
        <v>1264</v>
      </c>
      <c r="J49" s="13" t="s">
        <v>3342</v>
      </c>
      <c r="K49" s="13" t="s">
        <v>3343</v>
      </c>
      <c r="L49" s="14"/>
      <c r="M49" s="14" t="s">
        <v>44</v>
      </c>
      <c r="N49" s="14" t="s">
        <v>155</v>
      </c>
      <c r="O49" s="14" t="s">
        <v>3344</v>
      </c>
      <c r="P49" s="14" t="s">
        <v>41</v>
      </c>
      <c r="Q49" s="14"/>
      <c r="R49" s="14" t="s">
        <v>3066</v>
      </c>
    </row>
    <row r="50" customFormat="false" ht="23.85" hidden="false" customHeight="false" outlineLevel="0" collapsed="false">
      <c r="A50" s="12" t="s">
        <v>3338</v>
      </c>
      <c r="B50" s="12" t="s">
        <v>48</v>
      </c>
      <c r="C50" s="12" t="s">
        <v>1396</v>
      </c>
      <c r="D50" s="13" t="s">
        <v>3339</v>
      </c>
      <c r="E50" s="13" t="s">
        <v>3340</v>
      </c>
      <c r="F50" s="13" t="s">
        <v>3341</v>
      </c>
      <c r="G50" s="13" t="s">
        <v>144</v>
      </c>
      <c r="H50" s="13"/>
      <c r="I50" s="13" t="s">
        <v>387</v>
      </c>
      <c r="J50" s="13"/>
      <c r="K50" s="13" t="s">
        <v>3343</v>
      </c>
      <c r="L50" s="14"/>
      <c r="M50" s="14" t="s">
        <v>43</v>
      </c>
      <c r="N50" s="14" t="s">
        <v>3345</v>
      </c>
      <c r="O50" s="14"/>
      <c r="P50" s="14"/>
      <c r="Q50" s="14"/>
      <c r="R50" s="14"/>
    </row>
    <row r="51" customFormat="false" ht="23.85" hidden="false" customHeight="false" outlineLevel="0" collapsed="false">
      <c r="A51" s="12" t="s">
        <v>3346</v>
      </c>
      <c r="B51" s="12" t="s">
        <v>48</v>
      </c>
      <c r="C51" s="12" t="s">
        <v>142</v>
      </c>
      <c r="D51" s="13" t="s">
        <v>3347</v>
      </c>
      <c r="E51" s="13" t="s">
        <v>3348</v>
      </c>
      <c r="F51" s="13" t="s">
        <v>3349</v>
      </c>
      <c r="G51" s="13" t="s">
        <v>144</v>
      </c>
      <c r="H51" s="13"/>
      <c r="I51" s="13" t="s">
        <v>1636</v>
      </c>
      <c r="J51" s="13" t="s">
        <v>3350</v>
      </c>
      <c r="K51" s="13" t="s">
        <v>3351</v>
      </c>
      <c r="L51" s="14"/>
      <c r="M51" s="14" t="s">
        <v>44</v>
      </c>
      <c r="N51" s="14" t="s">
        <v>919</v>
      </c>
      <c r="O51" s="14" t="s">
        <v>3352</v>
      </c>
      <c r="P51" s="14" t="s">
        <v>41</v>
      </c>
      <c r="Q51" s="14"/>
      <c r="R51" s="14" t="s">
        <v>3066</v>
      </c>
    </row>
    <row r="52" customFormat="false" ht="23.85" hidden="false" customHeight="false" outlineLevel="0" collapsed="false">
      <c r="A52" s="12" t="s">
        <v>3346</v>
      </c>
      <c r="B52" s="12" t="s">
        <v>48</v>
      </c>
      <c r="C52" s="12" t="s">
        <v>164</v>
      </c>
      <c r="D52" s="13" t="s">
        <v>3347</v>
      </c>
      <c r="E52" s="13" t="s">
        <v>3348</v>
      </c>
      <c r="F52" s="13" t="s">
        <v>3349</v>
      </c>
      <c r="G52" s="13" t="s">
        <v>144</v>
      </c>
      <c r="H52" s="13"/>
      <c r="I52" s="13" t="s">
        <v>1681</v>
      </c>
      <c r="J52" s="13" t="s">
        <v>3353</v>
      </c>
      <c r="K52" s="13" t="s">
        <v>3351</v>
      </c>
      <c r="L52" s="14"/>
      <c r="M52" s="14" t="s">
        <v>44</v>
      </c>
      <c r="N52" s="14" t="s">
        <v>2654</v>
      </c>
      <c r="O52" s="14" t="s">
        <v>3354</v>
      </c>
      <c r="P52" s="14" t="s">
        <v>41</v>
      </c>
      <c r="Q52" s="14"/>
      <c r="R52" s="14" t="s">
        <v>3066</v>
      </c>
    </row>
    <row r="53" customFormat="false" ht="23.85" hidden="false" customHeight="false" outlineLevel="0" collapsed="false">
      <c r="A53" s="12" t="s">
        <v>3346</v>
      </c>
      <c r="B53" s="12" t="s">
        <v>48</v>
      </c>
      <c r="C53" s="12" t="s">
        <v>1396</v>
      </c>
      <c r="D53" s="13" t="s">
        <v>3347</v>
      </c>
      <c r="E53" s="13" t="s">
        <v>3348</v>
      </c>
      <c r="F53" s="13" t="s">
        <v>3349</v>
      </c>
      <c r="G53" s="13" t="s">
        <v>144</v>
      </c>
      <c r="H53" s="13"/>
      <c r="I53" s="13" t="s">
        <v>387</v>
      </c>
      <c r="J53" s="13"/>
      <c r="K53" s="13" t="s">
        <v>3351</v>
      </c>
      <c r="L53" s="14"/>
      <c r="M53" s="14" t="s">
        <v>43</v>
      </c>
      <c r="N53" s="14" t="s">
        <v>3355</v>
      </c>
      <c r="O53" s="14"/>
      <c r="P53" s="14"/>
      <c r="Q53" s="14"/>
      <c r="R53" s="14"/>
    </row>
    <row r="54" customFormat="false" ht="35.05" hidden="false" customHeight="false" outlineLevel="0" collapsed="false">
      <c r="A54" s="12" t="s">
        <v>3356</v>
      </c>
      <c r="B54" s="12" t="s">
        <v>48</v>
      </c>
      <c r="C54" s="12" t="s">
        <v>142</v>
      </c>
      <c r="D54" s="13" t="s">
        <v>3357</v>
      </c>
      <c r="E54" s="13" t="s">
        <v>3358</v>
      </c>
      <c r="F54" s="13" t="s">
        <v>3359</v>
      </c>
      <c r="G54" s="13" t="s">
        <v>206</v>
      </c>
      <c r="H54" s="13"/>
      <c r="I54" s="13" t="s">
        <v>387</v>
      </c>
      <c r="J54" s="13" t="s">
        <v>3360</v>
      </c>
      <c r="K54" s="13" t="s">
        <v>3361</v>
      </c>
      <c r="L54" s="14" t="s">
        <v>2055</v>
      </c>
      <c r="M54" s="14" t="s">
        <v>41</v>
      </c>
      <c r="N54" s="14"/>
      <c r="O54" s="14" t="s">
        <v>2055</v>
      </c>
      <c r="P54" s="14" t="s">
        <v>41</v>
      </c>
      <c r="Q54" s="14"/>
      <c r="R54" s="14" t="s">
        <v>3066</v>
      </c>
    </row>
    <row r="55" customFormat="false" ht="35.05" hidden="false" customHeight="false" outlineLevel="0" collapsed="false">
      <c r="A55" s="12" t="s">
        <v>3362</v>
      </c>
      <c r="B55" s="12" t="s">
        <v>48</v>
      </c>
      <c r="C55" s="12" t="s">
        <v>142</v>
      </c>
      <c r="D55" s="13" t="s">
        <v>3363</v>
      </c>
      <c r="E55" s="13" t="s">
        <v>3364</v>
      </c>
      <c r="F55" s="13" t="s">
        <v>3365</v>
      </c>
      <c r="G55" s="13" t="s">
        <v>144</v>
      </c>
      <c r="H55" s="13" t="s">
        <v>93</v>
      </c>
      <c r="I55" s="13" t="s">
        <v>1274</v>
      </c>
      <c r="J55" s="13" t="s">
        <v>1657</v>
      </c>
      <c r="K55" s="13" t="s">
        <v>3366</v>
      </c>
      <c r="L55" s="14" t="s">
        <v>2064</v>
      </c>
      <c r="M55" s="14" t="s">
        <v>44</v>
      </c>
      <c r="N55" s="14" t="s">
        <v>710</v>
      </c>
      <c r="O55" s="14" t="s">
        <v>3367</v>
      </c>
      <c r="P55" s="14" t="s">
        <v>41</v>
      </c>
      <c r="Q55" s="14"/>
      <c r="R55" s="14" t="s">
        <v>3066</v>
      </c>
    </row>
    <row r="56" customFormat="false" ht="35.05" hidden="false" customHeight="false" outlineLevel="0" collapsed="false">
      <c r="A56" s="12" t="s">
        <v>3368</v>
      </c>
      <c r="B56" s="12" t="s">
        <v>49</v>
      </c>
      <c r="C56" s="12" t="s">
        <v>142</v>
      </c>
      <c r="D56" s="13" t="s">
        <v>3369</v>
      </c>
      <c r="E56" s="13" t="s">
        <v>3370</v>
      </c>
      <c r="F56" s="13" t="s">
        <v>3371</v>
      </c>
      <c r="G56" s="13" t="s">
        <v>144</v>
      </c>
      <c r="H56" s="13" t="s">
        <v>1627</v>
      </c>
      <c r="I56" s="13" t="s">
        <v>1628</v>
      </c>
      <c r="J56" s="13" t="s">
        <v>2985</v>
      </c>
      <c r="K56" s="13" t="s">
        <v>3372</v>
      </c>
      <c r="L56" s="14" t="s">
        <v>2987</v>
      </c>
      <c r="M56" s="14" t="s">
        <v>41</v>
      </c>
      <c r="N56" s="14"/>
      <c r="O56" s="14" t="s">
        <v>3218</v>
      </c>
      <c r="P56" s="14" t="s">
        <v>41</v>
      </c>
      <c r="Q56" s="14"/>
      <c r="R56" s="14" t="s">
        <v>3066</v>
      </c>
    </row>
    <row r="57" customFormat="false" ht="35.05" hidden="false" customHeight="false" outlineLevel="0" collapsed="false">
      <c r="A57" s="12" t="s">
        <v>3368</v>
      </c>
      <c r="B57" s="12" t="s">
        <v>49</v>
      </c>
      <c r="C57" s="12" t="s">
        <v>164</v>
      </c>
      <c r="D57" s="13" t="s">
        <v>3369</v>
      </c>
      <c r="E57" s="13" t="s">
        <v>3370</v>
      </c>
      <c r="F57" s="13" t="s">
        <v>3371</v>
      </c>
      <c r="G57" s="13" t="s">
        <v>144</v>
      </c>
      <c r="H57" s="13" t="s">
        <v>93</v>
      </c>
      <c r="I57" s="13" t="s">
        <v>1264</v>
      </c>
      <c r="J57" s="13" t="s">
        <v>1418</v>
      </c>
      <c r="K57" s="13" t="s">
        <v>3372</v>
      </c>
      <c r="L57" s="14" t="s">
        <v>3373</v>
      </c>
      <c r="M57" s="14" t="s">
        <v>41</v>
      </c>
      <c r="N57" s="14"/>
      <c r="O57" s="14" t="s">
        <v>3374</v>
      </c>
      <c r="P57" s="14" t="s">
        <v>41</v>
      </c>
      <c r="Q57" s="14"/>
      <c r="R57" s="14" t="s">
        <v>3066</v>
      </c>
    </row>
    <row r="58" customFormat="false" ht="35.05" hidden="false" customHeight="false" outlineLevel="0" collapsed="false">
      <c r="A58" s="12" t="s">
        <v>3375</v>
      </c>
      <c r="B58" s="12" t="s">
        <v>49</v>
      </c>
      <c r="C58" s="12" t="s">
        <v>142</v>
      </c>
      <c r="D58" s="13" t="s">
        <v>3376</v>
      </c>
      <c r="E58" s="13" t="s">
        <v>3377</v>
      </c>
      <c r="F58" s="13" t="s">
        <v>3378</v>
      </c>
      <c r="G58" s="13" t="s">
        <v>144</v>
      </c>
      <c r="H58" s="13" t="s">
        <v>95</v>
      </c>
      <c r="I58" s="13" t="s">
        <v>1605</v>
      </c>
      <c r="J58" s="13" t="s">
        <v>1662</v>
      </c>
      <c r="K58" s="13" t="s">
        <v>3379</v>
      </c>
      <c r="L58" s="14" t="s">
        <v>3380</v>
      </c>
      <c r="M58" s="14" t="s">
        <v>41</v>
      </c>
      <c r="N58" s="14"/>
      <c r="O58" s="14" t="s">
        <v>3381</v>
      </c>
      <c r="P58" s="14" t="s">
        <v>41</v>
      </c>
      <c r="Q58" s="14"/>
      <c r="R58" s="14" t="s">
        <v>3066</v>
      </c>
    </row>
    <row r="59" customFormat="false" ht="35.05" hidden="false" customHeight="false" outlineLevel="0" collapsed="false">
      <c r="A59" s="12" t="s">
        <v>3375</v>
      </c>
      <c r="B59" s="12" t="s">
        <v>49</v>
      </c>
      <c r="C59" s="12" t="s">
        <v>164</v>
      </c>
      <c r="D59" s="13" t="s">
        <v>3376</v>
      </c>
      <c r="E59" s="13" t="s">
        <v>3377</v>
      </c>
      <c r="F59" s="13" t="s">
        <v>3378</v>
      </c>
      <c r="G59" s="13" t="s">
        <v>144</v>
      </c>
      <c r="H59" s="13" t="s">
        <v>1627</v>
      </c>
      <c r="I59" s="13" t="s">
        <v>1628</v>
      </c>
      <c r="J59" s="13" t="s">
        <v>3382</v>
      </c>
      <c r="K59" s="13" t="s">
        <v>3379</v>
      </c>
      <c r="L59" s="14" t="s">
        <v>3383</v>
      </c>
      <c r="M59" s="14" t="s">
        <v>41</v>
      </c>
      <c r="N59" s="14"/>
      <c r="O59" s="14" t="s">
        <v>3384</v>
      </c>
      <c r="P59" s="14" t="s">
        <v>41</v>
      </c>
      <c r="Q59" s="14"/>
      <c r="R59" s="14" t="s">
        <v>3066</v>
      </c>
    </row>
    <row r="60" customFormat="false" ht="23.85" hidden="false" customHeight="false" outlineLevel="0" collapsed="false">
      <c r="A60" s="12" t="s">
        <v>3385</v>
      </c>
      <c r="B60" s="12" t="s">
        <v>49</v>
      </c>
      <c r="C60" s="12" t="s">
        <v>142</v>
      </c>
      <c r="D60" s="13" t="s">
        <v>3386</v>
      </c>
      <c r="E60" s="13" t="s">
        <v>3387</v>
      </c>
      <c r="F60" s="13" t="s">
        <v>3388</v>
      </c>
      <c r="G60" s="13" t="s">
        <v>144</v>
      </c>
      <c r="H60" s="13"/>
      <c r="I60" s="13" t="s">
        <v>1636</v>
      </c>
      <c r="J60" s="13" t="s">
        <v>3389</v>
      </c>
      <c r="K60" s="13" t="s">
        <v>3390</v>
      </c>
      <c r="L60" s="14" t="s">
        <v>2624</v>
      </c>
      <c r="M60" s="14" t="s">
        <v>41</v>
      </c>
      <c r="N60" s="14"/>
      <c r="O60" s="14" t="s">
        <v>3391</v>
      </c>
      <c r="P60" s="14" t="s">
        <v>41</v>
      </c>
      <c r="Q60" s="14"/>
      <c r="R60" s="14" t="s">
        <v>3066</v>
      </c>
    </row>
    <row r="61" customFormat="false" ht="23.85" hidden="false" customHeight="false" outlineLevel="0" collapsed="false">
      <c r="A61" s="12" t="s">
        <v>3385</v>
      </c>
      <c r="B61" s="12" t="s">
        <v>49</v>
      </c>
      <c r="C61" s="12" t="s">
        <v>164</v>
      </c>
      <c r="D61" s="13" t="s">
        <v>3386</v>
      </c>
      <c r="E61" s="13" t="s">
        <v>3387</v>
      </c>
      <c r="F61" s="13" t="s">
        <v>3388</v>
      </c>
      <c r="G61" s="13" t="s">
        <v>144</v>
      </c>
      <c r="H61" s="13"/>
      <c r="I61" s="13" t="s">
        <v>1681</v>
      </c>
      <c r="J61" s="13" t="s">
        <v>2625</v>
      </c>
      <c r="K61" s="13" t="s">
        <v>3390</v>
      </c>
      <c r="L61" s="14" t="s">
        <v>3392</v>
      </c>
      <c r="M61" s="14" t="s">
        <v>41</v>
      </c>
      <c r="N61" s="14"/>
      <c r="O61" s="14" t="s">
        <v>3393</v>
      </c>
      <c r="P61" s="14" t="s">
        <v>41</v>
      </c>
      <c r="Q61" s="14"/>
      <c r="R61" s="14" t="s">
        <v>3066</v>
      </c>
    </row>
    <row r="62" customFormat="false" ht="35.05" hidden="false" customHeight="false" outlineLevel="0" collapsed="false">
      <c r="A62" s="12" t="s">
        <v>3385</v>
      </c>
      <c r="B62" s="12" t="s">
        <v>49</v>
      </c>
      <c r="C62" s="12" t="s">
        <v>386</v>
      </c>
      <c r="D62" s="13" t="s">
        <v>3386</v>
      </c>
      <c r="E62" s="13" t="s">
        <v>3387</v>
      </c>
      <c r="F62" s="13" t="s">
        <v>3388</v>
      </c>
      <c r="G62" s="13" t="s">
        <v>144</v>
      </c>
      <c r="H62" s="13"/>
      <c r="I62" s="13" t="s">
        <v>1628</v>
      </c>
      <c r="J62" s="13" t="s">
        <v>3394</v>
      </c>
      <c r="K62" s="13" t="s">
        <v>3390</v>
      </c>
      <c r="L62" s="14" t="s">
        <v>3395</v>
      </c>
      <c r="M62" s="14" t="s">
        <v>41</v>
      </c>
      <c r="N62" s="14"/>
      <c r="O62" s="14" t="s">
        <v>3396</v>
      </c>
      <c r="P62" s="14" t="s">
        <v>41</v>
      </c>
      <c r="Q62" s="14"/>
      <c r="R62" s="14" t="s">
        <v>3066</v>
      </c>
    </row>
    <row r="63" customFormat="false" ht="35.05" hidden="false" customHeight="false" outlineLevel="0" collapsed="false">
      <c r="A63" s="12" t="s">
        <v>3397</v>
      </c>
      <c r="B63" s="12" t="s">
        <v>49</v>
      </c>
      <c r="C63" s="12" t="s">
        <v>142</v>
      </c>
      <c r="D63" s="13" t="s">
        <v>3398</v>
      </c>
      <c r="E63" s="13" t="s">
        <v>3399</v>
      </c>
      <c r="F63" s="13" t="s">
        <v>3400</v>
      </c>
      <c r="G63" s="13" t="s">
        <v>144</v>
      </c>
      <c r="H63" s="13" t="s">
        <v>1627</v>
      </c>
      <c r="I63" s="13" t="s">
        <v>1628</v>
      </c>
      <c r="J63" s="13" t="s">
        <v>3401</v>
      </c>
      <c r="K63" s="13" t="s">
        <v>3402</v>
      </c>
      <c r="L63" s="14" t="s">
        <v>3403</v>
      </c>
      <c r="M63" s="14" t="s">
        <v>41</v>
      </c>
      <c r="N63" s="14"/>
      <c r="O63" s="14" t="s">
        <v>3404</v>
      </c>
      <c r="P63" s="14" t="s">
        <v>41</v>
      </c>
      <c r="Q63" s="14"/>
      <c r="R63" s="14" t="s">
        <v>3066</v>
      </c>
    </row>
    <row r="64" customFormat="false" ht="23.85" hidden="false" customHeight="false" outlineLevel="0" collapsed="false">
      <c r="A64" s="12" t="s">
        <v>3397</v>
      </c>
      <c r="B64" s="12" t="s">
        <v>49</v>
      </c>
      <c r="C64" s="12" t="s">
        <v>164</v>
      </c>
      <c r="D64" s="13" t="s">
        <v>3398</v>
      </c>
      <c r="E64" s="13" t="s">
        <v>3399</v>
      </c>
      <c r="F64" s="13" t="s">
        <v>3400</v>
      </c>
      <c r="G64" s="13" t="s">
        <v>144</v>
      </c>
      <c r="H64" s="13" t="s">
        <v>97</v>
      </c>
      <c r="I64" s="13" t="s">
        <v>1669</v>
      </c>
      <c r="J64" s="13" t="s">
        <v>3405</v>
      </c>
      <c r="K64" s="13" t="s">
        <v>3402</v>
      </c>
      <c r="L64" s="14"/>
      <c r="M64" s="14" t="s">
        <v>44</v>
      </c>
      <c r="N64" s="14" t="s">
        <v>3406</v>
      </c>
      <c r="O64" s="14" t="s">
        <v>3407</v>
      </c>
      <c r="P64" s="14" t="s">
        <v>41</v>
      </c>
      <c r="Q64" s="14"/>
      <c r="R64" s="14" t="s">
        <v>3066</v>
      </c>
    </row>
    <row r="65" customFormat="false" ht="23.85" hidden="false" customHeight="false" outlineLevel="0" collapsed="false">
      <c r="A65" s="12" t="s">
        <v>3397</v>
      </c>
      <c r="B65" s="12" t="s">
        <v>49</v>
      </c>
      <c r="C65" s="12" t="s">
        <v>1396</v>
      </c>
      <c r="D65" s="13" t="s">
        <v>3398</v>
      </c>
      <c r="E65" s="13" t="s">
        <v>3399</v>
      </c>
      <c r="F65" s="13" t="s">
        <v>3400</v>
      </c>
      <c r="G65" s="13" t="s">
        <v>144</v>
      </c>
      <c r="H65" s="13"/>
      <c r="I65" s="13" t="s">
        <v>387</v>
      </c>
      <c r="J65" s="13"/>
      <c r="K65" s="13" t="s">
        <v>3402</v>
      </c>
      <c r="L65" s="14"/>
      <c r="M65" s="14" t="s">
        <v>43</v>
      </c>
      <c r="N65" s="14"/>
      <c r="O65" s="14"/>
      <c r="P65" s="14"/>
      <c r="Q65" s="14"/>
      <c r="R65" s="14"/>
    </row>
    <row r="66" customFormat="false" ht="35.05" hidden="false" customHeight="false" outlineLevel="0" collapsed="false">
      <c r="A66" s="12" t="s">
        <v>3408</v>
      </c>
      <c r="B66" s="12" t="s">
        <v>49</v>
      </c>
      <c r="C66" s="12" t="s">
        <v>142</v>
      </c>
      <c r="D66" s="13" t="s">
        <v>3409</v>
      </c>
      <c r="E66" s="13" t="s">
        <v>3410</v>
      </c>
      <c r="F66" s="13" t="s">
        <v>3411</v>
      </c>
      <c r="G66" s="13" t="s">
        <v>144</v>
      </c>
      <c r="H66" s="13" t="s">
        <v>93</v>
      </c>
      <c r="I66" s="13" t="s">
        <v>1264</v>
      </c>
      <c r="J66" s="13" t="s">
        <v>3412</v>
      </c>
      <c r="K66" s="13" t="s">
        <v>3413</v>
      </c>
      <c r="L66" s="14" t="s">
        <v>3414</v>
      </c>
      <c r="M66" s="14" t="s">
        <v>41</v>
      </c>
      <c r="N66" s="14"/>
      <c r="O66" s="14" t="s">
        <v>3415</v>
      </c>
      <c r="P66" s="14" t="s">
        <v>41</v>
      </c>
      <c r="Q66" s="14"/>
      <c r="R66" s="14" t="s">
        <v>3066</v>
      </c>
    </row>
    <row r="67" customFormat="false" ht="35.05" hidden="false" customHeight="false" outlineLevel="0" collapsed="false">
      <c r="A67" s="12" t="s">
        <v>3408</v>
      </c>
      <c r="B67" s="12" t="s">
        <v>49</v>
      </c>
      <c r="C67" s="12" t="s">
        <v>164</v>
      </c>
      <c r="D67" s="13" t="s">
        <v>3409</v>
      </c>
      <c r="E67" s="13" t="s">
        <v>3410</v>
      </c>
      <c r="F67" s="13" t="s">
        <v>3411</v>
      </c>
      <c r="G67" s="13" t="s">
        <v>144</v>
      </c>
      <c r="H67" s="13" t="s">
        <v>1627</v>
      </c>
      <c r="I67" s="13" t="s">
        <v>1628</v>
      </c>
      <c r="J67" s="13" t="s">
        <v>3416</v>
      </c>
      <c r="K67" s="13" t="s">
        <v>3413</v>
      </c>
      <c r="L67" s="14" t="s">
        <v>3417</v>
      </c>
      <c r="M67" s="14" t="s">
        <v>41</v>
      </c>
      <c r="N67" s="14"/>
      <c r="O67" s="14" t="s">
        <v>3418</v>
      </c>
      <c r="P67" s="14" t="s">
        <v>41</v>
      </c>
      <c r="Q67" s="14"/>
      <c r="R67" s="14" t="s">
        <v>3066</v>
      </c>
    </row>
    <row r="68" customFormat="false" ht="23.85" hidden="false" customHeight="false" outlineLevel="0" collapsed="false">
      <c r="A68" s="12" t="s">
        <v>3419</v>
      </c>
      <c r="B68" s="12" t="s">
        <v>49</v>
      </c>
      <c r="C68" s="12" t="s">
        <v>142</v>
      </c>
      <c r="D68" s="13" t="s">
        <v>3420</v>
      </c>
      <c r="E68" s="13" t="s">
        <v>3421</v>
      </c>
      <c r="F68" s="13" t="s">
        <v>3422</v>
      </c>
      <c r="G68" s="13" t="s">
        <v>144</v>
      </c>
      <c r="H68" s="13"/>
      <c r="I68" s="13" t="s">
        <v>1636</v>
      </c>
      <c r="J68" s="13" t="s">
        <v>3423</v>
      </c>
      <c r="K68" s="13" t="s">
        <v>3424</v>
      </c>
      <c r="L68" s="14" t="s">
        <v>2540</v>
      </c>
      <c r="M68" s="14" t="s">
        <v>41</v>
      </c>
      <c r="N68" s="14"/>
      <c r="O68" s="14" t="s">
        <v>3425</v>
      </c>
      <c r="P68" s="14" t="s">
        <v>41</v>
      </c>
      <c r="Q68" s="14"/>
      <c r="R68" s="14" t="s">
        <v>3066</v>
      </c>
    </row>
    <row r="69" customFormat="false" ht="23.85" hidden="false" customHeight="false" outlineLevel="0" collapsed="false">
      <c r="A69" s="12" t="s">
        <v>3419</v>
      </c>
      <c r="B69" s="12" t="s">
        <v>49</v>
      </c>
      <c r="C69" s="12" t="s">
        <v>164</v>
      </c>
      <c r="D69" s="13" t="s">
        <v>3420</v>
      </c>
      <c r="E69" s="13" t="s">
        <v>3421</v>
      </c>
      <c r="F69" s="13" t="s">
        <v>3422</v>
      </c>
      <c r="G69" s="13" t="s">
        <v>144</v>
      </c>
      <c r="H69" s="13"/>
      <c r="I69" s="13" t="s">
        <v>1681</v>
      </c>
      <c r="J69" s="13" t="s">
        <v>3426</v>
      </c>
      <c r="K69" s="13" t="s">
        <v>3424</v>
      </c>
      <c r="L69" s="14" t="s">
        <v>3427</v>
      </c>
      <c r="M69" s="14" t="s">
        <v>41</v>
      </c>
      <c r="N69" s="14"/>
      <c r="O69" s="14" t="s">
        <v>3428</v>
      </c>
      <c r="P69" s="14" t="s">
        <v>41</v>
      </c>
      <c r="Q69" s="14"/>
      <c r="R69" s="14" t="s">
        <v>3066</v>
      </c>
    </row>
    <row r="70" customFormat="false" ht="46.25" hidden="false" customHeight="false" outlineLevel="0" collapsed="false">
      <c r="A70" s="12" t="s">
        <v>3419</v>
      </c>
      <c r="B70" s="12" t="s">
        <v>49</v>
      </c>
      <c r="C70" s="12" t="s">
        <v>386</v>
      </c>
      <c r="D70" s="13" t="s">
        <v>3420</v>
      </c>
      <c r="E70" s="13" t="s">
        <v>3421</v>
      </c>
      <c r="F70" s="13" t="s">
        <v>3422</v>
      </c>
      <c r="G70" s="13" t="s">
        <v>144</v>
      </c>
      <c r="H70" s="13"/>
      <c r="I70" s="13" t="s">
        <v>1628</v>
      </c>
      <c r="J70" s="13" t="s">
        <v>3429</v>
      </c>
      <c r="K70" s="13" t="s">
        <v>3424</v>
      </c>
      <c r="L70" s="14" t="s">
        <v>3430</v>
      </c>
      <c r="M70" s="14" t="s">
        <v>41</v>
      </c>
      <c r="N70" s="14"/>
      <c r="O70" s="14" t="s">
        <v>3431</v>
      </c>
      <c r="P70" s="14" t="s">
        <v>41</v>
      </c>
      <c r="Q70" s="14"/>
      <c r="R70" s="14" t="s">
        <v>3066</v>
      </c>
    </row>
    <row r="71" customFormat="false" ht="35.05" hidden="false" customHeight="false" outlineLevel="0" collapsed="false">
      <c r="A71" s="12" t="s">
        <v>3432</v>
      </c>
      <c r="B71" s="12" t="s">
        <v>49</v>
      </c>
      <c r="C71" s="12" t="s">
        <v>142</v>
      </c>
      <c r="D71" s="13" t="s">
        <v>3433</v>
      </c>
      <c r="E71" s="13" t="s">
        <v>3434</v>
      </c>
      <c r="F71" s="13" t="s">
        <v>3435</v>
      </c>
      <c r="G71" s="13" t="s">
        <v>144</v>
      </c>
      <c r="H71" s="13" t="s">
        <v>95</v>
      </c>
      <c r="I71" s="13" t="s">
        <v>1647</v>
      </c>
      <c r="J71" s="13" t="s">
        <v>3436</v>
      </c>
      <c r="K71" s="13" t="s">
        <v>3437</v>
      </c>
      <c r="L71" s="14" t="s">
        <v>3438</v>
      </c>
      <c r="M71" s="14" t="s">
        <v>41</v>
      </c>
      <c r="N71" s="14"/>
      <c r="O71" s="14" t="s">
        <v>3439</v>
      </c>
      <c r="P71" s="14" t="s">
        <v>41</v>
      </c>
      <c r="Q71" s="14"/>
      <c r="R71" s="14" t="s">
        <v>3066</v>
      </c>
    </row>
    <row r="72" customFormat="false" ht="35.05" hidden="false" customHeight="false" outlineLevel="0" collapsed="false">
      <c r="A72" s="12" t="s">
        <v>3432</v>
      </c>
      <c r="B72" s="12" t="s">
        <v>49</v>
      </c>
      <c r="C72" s="12" t="s">
        <v>164</v>
      </c>
      <c r="D72" s="13" t="s">
        <v>3433</v>
      </c>
      <c r="E72" s="13" t="s">
        <v>3434</v>
      </c>
      <c r="F72" s="13" t="s">
        <v>3435</v>
      </c>
      <c r="G72" s="13" t="s">
        <v>144</v>
      </c>
      <c r="H72" s="13" t="s">
        <v>1627</v>
      </c>
      <c r="I72" s="13" t="s">
        <v>1628</v>
      </c>
      <c r="J72" s="13" t="s">
        <v>2120</v>
      </c>
      <c r="K72" s="13" t="s">
        <v>3437</v>
      </c>
      <c r="L72" s="14" t="s">
        <v>3440</v>
      </c>
      <c r="M72" s="14" t="s">
        <v>41</v>
      </c>
      <c r="N72" s="14"/>
      <c r="O72" s="14" t="s">
        <v>3441</v>
      </c>
      <c r="P72" s="14" t="s">
        <v>41</v>
      </c>
      <c r="Q72" s="14"/>
      <c r="R72" s="14" t="s">
        <v>3066</v>
      </c>
    </row>
    <row r="73" customFormat="false" ht="35.05" hidden="false" customHeight="false" outlineLevel="0" collapsed="false">
      <c r="A73" s="12" t="s">
        <v>3442</v>
      </c>
      <c r="B73" s="12" t="s">
        <v>49</v>
      </c>
      <c r="C73" s="12" t="s">
        <v>142</v>
      </c>
      <c r="D73" s="13" t="s">
        <v>3443</v>
      </c>
      <c r="E73" s="13" t="s">
        <v>3444</v>
      </c>
      <c r="F73" s="13" t="s">
        <v>3445</v>
      </c>
      <c r="G73" s="13" t="s">
        <v>144</v>
      </c>
      <c r="H73" s="13" t="s">
        <v>1627</v>
      </c>
      <c r="I73" s="13" t="s">
        <v>1628</v>
      </c>
      <c r="J73" s="13" t="s">
        <v>3446</v>
      </c>
      <c r="K73" s="13" t="s">
        <v>3447</v>
      </c>
      <c r="L73" s="14" t="s">
        <v>3448</v>
      </c>
      <c r="M73" s="14" t="s">
        <v>41</v>
      </c>
      <c r="N73" s="14"/>
      <c r="O73" s="14" t="s">
        <v>3449</v>
      </c>
      <c r="P73" s="14" t="s">
        <v>41</v>
      </c>
      <c r="Q73" s="14"/>
      <c r="R73" s="14" t="s">
        <v>3066</v>
      </c>
    </row>
    <row r="74" customFormat="false" ht="35.05" hidden="false" customHeight="false" outlineLevel="0" collapsed="false">
      <c r="A74" s="12" t="s">
        <v>3442</v>
      </c>
      <c r="B74" s="12" t="s">
        <v>49</v>
      </c>
      <c r="C74" s="12" t="s">
        <v>164</v>
      </c>
      <c r="D74" s="13" t="s">
        <v>3443</v>
      </c>
      <c r="E74" s="13" t="s">
        <v>3444</v>
      </c>
      <c r="F74" s="13" t="s">
        <v>3445</v>
      </c>
      <c r="G74" s="13" t="s">
        <v>144</v>
      </c>
      <c r="H74" s="13" t="s">
        <v>93</v>
      </c>
      <c r="I74" s="13" t="s">
        <v>1264</v>
      </c>
      <c r="J74" s="13" t="s">
        <v>3450</v>
      </c>
      <c r="K74" s="13" t="s">
        <v>3447</v>
      </c>
      <c r="L74" s="14"/>
      <c r="M74" s="14" t="s">
        <v>44</v>
      </c>
      <c r="N74" s="14" t="s">
        <v>3451</v>
      </c>
      <c r="O74" s="14" t="s">
        <v>3452</v>
      </c>
      <c r="P74" s="14" t="s">
        <v>41</v>
      </c>
      <c r="Q74" s="14"/>
      <c r="R74" s="14" t="s">
        <v>3066</v>
      </c>
    </row>
    <row r="75" customFormat="false" ht="23.85" hidden="false" customHeight="false" outlineLevel="0" collapsed="false">
      <c r="A75" s="12" t="s">
        <v>3442</v>
      </c>
      <c r="B75" s="12" t="s">
        <v>49</v>
      </c>
      <c r="C75" s="12" t="s">
        <v>1396</v>
      </c>
      <c r="D75" s="13" t="s">
        <v>3443</v>
      </c>
      <c r="E75" s="13" t="s">
        <v>3444</v>
      </c>
      <c r="F75" s="13" t="s">
        <v>3445</v>
      </c>
      <c r="G75" s="13" t="s">
        <v>144</v>
      </c>
      <c r="H75" s="13"/>
      <c r="I75" s="13" t="s">
        <v>387</v>
      </c>
      <c r="J75" s="13"/>
      <c r="K75" s="13" t="s">
        <v>3447</v>
      </c>
      <c r="L75" s="14"/>
      <c r="M75" s="14" t="s">
        <v>43</v>
      </c>
      <c r="N75" s="14"/>
      <c r="O75" s="14"/>
      <c r="P75" s="14"/>
      <c r="Q75" s="14"/>
      <c r="R75" s="14"/>
    </row>
    <row r="76" customFormat="false" ht="35.05" hidden="false" customHeight="false" outlineLevel="0" collapsed="false">
      <c r="A76" s="12" t="s">
        <v>3453</v>
      </c>
      <c r="B76" s="12" t="s">
        <v>49</v>
      </c>
      <c r="C76" s="12" t="s">
        <v>142</v>
      </c>
      <c r="D76" s="13" t="s">
        <v>3454</v>
      </c>
      <c r="E76" s="13" t="s">
        <v>3455</v>
      </c>
      <c r="F76" s="13" t="s">
        <v>3456</v>
      </c>
      <c r="G76" s="13" t="s">
        <v>144</v>
      </c>
      <c r="H76" s="13"/>
      <c r="I76" s="13" t="s">
        <v>1628</v>
      </c>
      <c r="J76" s="13" t="s">
        <v>3457</v>
      </c>
      <c r="K76" s="13" t="s">
        <v>3458</v>
      </c>
      <c r="L76" s="14" t="s">
        <v>3459</v>
      </c>
      <c r="M76" s="14" t="s">
        <v>43</v>
      </c>
      <c r="N76" s="14" t="s">
        <v>3111</v>
      </c>
      <c r="O76" s="14" t="s">
        <v>3460</v>
      </c>
      <c r="P76" s="14" t="s">
        <v>41</v>
      </c>
      <c r="Q76" s="14"/>
      <c r="R76" s="14" t="s">
        <v>3066</v>
      </c>
    </row>
    <row r="77" customFormat="false" ht="35.05" hidden="false" customHeight="false" outlineLevel="0" collapsed="false">
      <c r="A77" s="12" t="s">
        <v>3453</v>
      </c>
      <c r="B77" s="12" t="s">
        <v>49</v>
      </c>
      <c r="C77" s="12" t="s">
        <v>164</v>
      </c>
      <c r="D77" s="13" t="s">
        <v>3454</v>
      </c>
      <c r="E77" s="13" t="s">
        <v>3455</v>
      </c>
      <c r="F77" s="13" t="s">
        <v>3456</v>
      </c>
      <c r="G77" s="13" t="s">
        <v>144</v>
      </c>
      <c r="H77" s="13"/>
      <c r="I77" s="13" t="s">
        <v>1636</v>
      </c>
      <c r="J77" s="13" t="s">
        <v>3461</v>
      </c>
      <c r="K77" s="13" t="s">
        <v>3458</v>
      </c>
      <c r="L77" s="14" t="s">
        <v>3462</v>
      </c>
      <c r="M77" s="14" t="s">
        <v>41</v>
      </c>
      <c r="N77" s="14"/>
      <c r="O77" s="14" t="s">
        <v>3463</v>
      </c>
      <c r="P77" s="14" t="s">
        <v>41</v>
      </c>
      <c r="Q77" s="14"/>
      <c r="R77" s="14" t="s">
        <v>3066</v>
      </c>
    </row>
    <row r="78" customFormat="false" ht="35.05" hidden="false" customHeight="false" outlineLevel="0" collapsed="false">
      <c r="A78" s="12" t="s">
        <v>3453</v>
      </c>
      <c r="B78" s="12" t="s">
        <v>49</v>
      </c>
      <c r="C78" s="12" t="s">
        <v>386</v>
      </c>
      <c r="D78" s="13" t="s">
        <v>3454</v>
      </c>
      <c r="E78" s="13" t="s">
        <v>3455</v>
      </c>
      <c r="F78" s="13" t="s">
        <v>3456</v>
      </c>
      <c r="G78" s="13" t="s">
        <v>144</v>
      </c>
      <c r="H78" s="13"/>
      <c r="I78" s="13" t="s">
        <v>1681</v>
      </c>
      <c r="J78" s="13" t="s">
        <v>3464</v>
      </c>
      <c r="K78" s="13" t="s">
        <v>3458</v>
      </c>
      <c r="L78" s="14" t="s">
        <v>3465</v>
      </c>
      <c r="M78" s="14" t="s">
        <v>41</v>
      </c>
      <c r="N78" s="14"/>
      <c r="O78" s="14" t="s">
        <v>3466</v>
      </c>
      <c r="P78" s="14" t="s">
        <v>41</v>
      </c>
      <c r="Q78" s="14"/>
      <c r="R78" s="14" t="s">
        <v>3066</v>
      </c>
    </row>
    <row r="79" customFormat="false" ht="35.05" hidden="false" customHeight="false" outlineLevel="0" collapsed="false">
      <c r="A79" s="12" t="s">
        <v>3467</v>
      </c>
      <c r="B79" s="12" t="s">
        <v>49</v>
      </c>
      <c r="C79" s="12" t="s">
        <v>142</v>
      </c>
      <c r="D79" s="13" t="s">
        <v>3468</v>
      </c>
      <c r="E79" s="13" t="s">
        <v>3469</v>
      </c>
      <c r="F79" s="13" t="s">
        <v>3470</v>
      </c>
      <c r="G79" s="13" t="s">
        <v>144</v>
      </c>
      <c r="H79" s="13" t="s">
        <v>1627</v>
      </c>
      <c r="I79" s="13" t="s">
        <v>1628</v>
      </c>
      <c r="J79" s="13" t="s">
        <v>3183</v>
      </c>
      <c r="K79" s="13" t="s">
        <v>3471</v>
      </c>
      <c r="L79" s="14" t="s">
        <v>3185</v>
      </c>
      <c r="M79" s="14" t="s">
        <v>41</v>
      </c>
      <c r="N79" s="14"/>
      <c r="O79" s="14" t="s">
        <v>3186</v>
      </c>
      <c r="P79" s="14" t="s">
        <v>41</v>
      </c>
      <c r="Q79" s="14"/>
      <c r="R79" s="14" t="s">
        <v>3066</v>
      </c>
    </row>
    <row r="80" customFormat="false" ht="35.05" hidden="false" customHeight="false" outlineLevel="0" collapsed="false">
      <c r="A80" s="12" t="s">
        <v>3467</v>
      </c>
      <c r="B80" s="12" t="s">
        <v>49</v>
      </c>
      <c r="C80" s="12" t="s">
        <v>164</v>
      </c>
      <c r="D80" s="13" t="s">
        <v>3468</v>
      </c>
      <c r="E80" s="13" t="s">
        <v>3469</v>
      </c>
      <c r="F80" s="13" t="s">
        <v>3470</v>
      </c>
      <c r="G80" s="13" t="s">
        <v>144</v>
      </c>
      <c r="H80" s="13" t="s">
        <v>1627</v>
      </c>
      <c r="I80" s="13" t="s">
        <v>1628</v>
      </c>
      <c r="J80" s="13" t="s">
        <v>3472</v>
      </c>
      <c r="K80" s="13" t="s">
        <v>3471</v>
      </c>
      <c r="L80" s="14" t="s">
        <v>3473</v>
      </c>
      <c r="M80" s="14" t="s">
        <v>41</v>
      </c>
      <c r="N80" s="14"/>
      <c r="O80" s="14" t="s">
        <v>3474</v>
      </c>
      <c r="P80" s="14" t="s">
        <v>41</v>
      </c>
      <c r="Q80" s="14"/>
      <c r="R80" s="14" t="s">
        <v>3066</v>
      </c>
    </row>
  </sheetData>
  <conditionalFormatting sqref="M5:M80">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80">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3475</v>
      </c>
    </row>
    <row r="2" customFormat="false" ht="15" hidden="false" customHeight="false" outlineLevel="0" collapsed="false">
      <c r="A2" s="2" t="s">
        <v>3476</v>
      </c>
    </row>
    <row r="3" customFormat="false" ht="15" hidden="false" customHeight="false" outlineLevel="0" collapsed="false">
      <c r="A3" s="2" t="s">
        <v>3477</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1256</v>
      </c>
      <c r="P4" s="8" t="s">
        <v>1257</v>
      </c>
      <c r="Q4" s="8" t="s">
        <v>1258</v>
      </c>
      <c r="R4" s="8" t="s">
        <v>1259</v>
      </c>
    </row>
    <row r="5" customFormat="false" ht="35.05" hidden="false" customHeight="false" outlineLevel="0" collapsed="false">
      <c r="A5" s="12" t="s">
        <v>3478</v>
      </c>
      <c r="B5" s="12" t="s">
        <v>45</v>
      </c>
      <c r="C5" s="12" t="s">
        <v>142</v>
      </c>
      <c r="D5" s="13" t="s">
        <v>3479</v>
      </c>
      <c r="E5" s="13" t="s">
        <v>3480</v>
      </c>
      <c r="F5" s="13" t="s">
        <v>3481</v>
      </c>
      <c r="G5" s="13" t="s">
        <v>144</v>
      </c>
      <c r="H5" s="13"/>
      <c r="I5" s="13" t="s">
        <v>1701</v>
      </c>
      <c r="J5" s="13" t="s">
        <v>3482</v>
      </c>
      <c r="K5" s="13" t="s">
        <v>3483</v>
      </c>
      <c r="L5" s="14" t="s">
        <v>3484</v>
      </c>
      <c r="M5" s="14" t="s">
        <v>41</v>
      </c>
      <c r="N5" s="14"/>
      <c r="O5" s="14" t="s">
        <v>3484</v>
      </c>
      <c r="P5" s="14" t="s">
        <v>41</v>
      </c>
      <c r="Q5" s="14"/>
      <c r="R5" s="14" t="s">
        <v>3485</v>
      </c>
    </row>
    <row r="6" customFormat="false" ht="35.05" hidden="false" customHeight="false" outlineLevel="0" collapsed="false">
      <c r="A6" s="12" t="s">
        <v>3486</v>
      </c>
      <c r="B6" s="12" t="s">
        <v>45</v>
      </c>
      <c r="C6" s="12" t="s">
        <v>142</v>
      </c>
      <c r="D6" s="13" t="s">
        <v>3487</v>
      </c>
      <c r="E6" s="13" t="s">
        <v>3488</v>
      </c>
      <c r="F6" s="13" t="s">
        <v>3489</v>
      </c>
      <c r="G6" s="13" t="s">
        <v>144</v>
      </c>
      <c r="H6" s="13"/>
      <c r="I6" s="13" t="s">
        <v>1701</v>
      </c>
      <c r="J6" s="13" t="s">
        <v>3490</v>
      </c>
      <c r="K6" s="13" t="s">
        <v>3491</v>
      </c>
      <c r="L6" s="14" t="s">
        <v>1768</v>
      </c>
      <c r="M6" s="14" t="s">
        <v>44</v>
      </c>
      <c r="N6" s="14" t="s">
        <v>501</v>
      </c>
      <c r="O6" s="14" t="s">
        <v>3492</v>
      </c>
      <c r="P6" s="14" t="s">
        <v>41</v>
      </c>
      <c r="Q6" s="14"/>
      <c r="R6" s="14" t="s">
        <v>3485</v>
      </c>
    </row>
    <row r="7" customFormat="false" ht="35.05" hidden="false" customHeight="false" outlineLevel="0" collapsed="false">
      <c r="A7" s="12" t="s">
        <v>3493</v>
      </c>
      <c r="B7" s="12" t="s">
        <v>45</v>
      </c>
      <c r="C7" s="12" t="s">
        <v>142</v>
      </c>
      <c r="D7" s="13" t="s">
        <v>3494</v>
      </c>
      <c r="E7" s="13" t="s">
        <v>3495</v>
      </c>
      <c r="F7" s="13" t="s">
        <v>3496</v>
      </c>
      <c r="G7" s="13" t="s">
        <v>144</v>
      </c>
      <c r="H7" s="13"/>
      <c r="I7" s="13" t="s">
        <v>1701</v>
      </c>
      <c r="J7" s="13" t="s">
        <v>3497</v>
      </c>
      <c r="K7" s="13" t="s">
        <v>3498</v>
      </c>
      <c r="L7" s="14" t="s">
        <v>3499</v>
      </c>
      <c r="M7" s="14" t="s">
        <v>41</v>
      </c>
      <c r="N7" s="14"/>
      <c r="O7" s="14" t="s">
        <v>3499</v>
      </c>
      <c r="P7" s="14" t="s">
        <v>41</v>
      </c>
      <c r="Q7" s="14"/>
      <c r="R7" s="14" t="s">
        <v>3485</v>
      </c>
    </row>
    <row r="8" customFormat="false" ht="23.85" hidden="false" customHeight="false" outlineLevel="0" collapsed="false">
      <c r="A8" s="12" t="s">
        <v>3500</v>
      </c>
      <c r="B8" s="12" t="s">
        <v>45</v>
      </c>
      <c r="C8" s="12" t="s">
        <v>142</v>
      </c>
      <c r="D8" s="13" t="s">
        <v>3501</v>
      </c>
      <c r="E8" s="13" t="s">
        <v>3502</v>
      </c>
      <c r="F8" s="13" t="s">
        <v>3503</v>
      </c>
      <c r="G8" s="13" t="s">
        <v>144</v>
      </c>
      <c r="H8" s="13"/>
      <c r="I8" s="13" t="s">
        <v>3504</v>
      </c>
      <c r="J8" s="13" t="s">
        <v>3505</v>
      </c>
      <c r="K8" s="13" t="s">
        <v>3506</v>
      </c>
      <c r="L8" s="14" t="s">
        <v>1768</v>
      </c>
      <c r="M8" s="14" t="s">
        <v>44</v>
      </c>
      <c r="N8" s="14" t="s">
        <v>528</v>
      </c>
      <c r="O8" s="14" t="s">
        <v>3507</v>
      </c>
      <c r="P8" s="14" t="s">
        <v>41</v>
      </c>
      <c r="Q8" s="14"/>
      <c r="R8" s="14" t="s">
        <v>3485</v>
      </c>
    </row>
    <row r="9" customFormat="false" ht="23.85" hidden="false" customHeight="false" outlineLevel="0" collapsed="false">
      <c r="A9" s="12" t="s">
        <v>3508</v>
      </c>
      <c r="B9" s="12" t="s">
        <v>45</v>
      </c>
      <c r="C9" s="12" t="s">
        <v>142</v>
      </c>
      <c r="D9" s="13" t="s">
        <v>3509</v>
      </c>
      <c r="E9" s="13" t="s">
        <v>3510</v>
      </c>
      <c r="F9" s="13" t="s">
        <v>3511</v>
      </c>
      <c r="G9" s="13" t="s">
        <v>144</v>
      </c>
      <c r="H9" s="13"/>
      <c r="I9" s="13" t="s">
        <v>3504</v>
      </c>
      <c r="J9" s="13" t="s">
        <v>3512</v>
      </c>
      <c r="K9" s="13" t="s">
        <v>3513</v>
      </c>
      <c r="L9" s="14" t="s">
        <v>2064</v>
      </c>
      <c r="M9" s="14" t="s">
        <v>44</v>
      </c>
      <c r="N9" s="14" t="s">
        <v>528</v>
      </c>
      <c r="O9" s="14" t="s">
        <v>3514</v>
      </c>
      <c r="P9" s="14" t="s">
        <v>41</v>
      </c>
      <c r="Q9" s="14"/>
      <c r="R9" s="14" t="s">
        <v>3485</v>
      </c>
    </row>
    <row r="10" customFormat="false" ht="23.85" hidden="false" customHeight="false" outlineLevel="0" collapsed="false">
      <c r="A10" s="12" t="s">
        <v>3515</v>
      </c>
      <c r="B10" s="12" t="s">
        <v>45</v>
      </c>
      <c r="C10" s="12" t="s">
        <v>142</v>
      </c>
      <c r="D10" s="13" t="s">
        <v>3516</v>
      </c>
      <c r="E10" s="13" t="s">
        <v>3517</v>
      </c>
      <c r="F10" s="13" t="s">
        <v>3518</v>
      </c>
      <c r="G10" s="13" t="s">
        <v>144</v>
      </c>
      <c r="H10" s="13"/>
      <c r="I10" s="13" t="s">
        <v>3504</v>
      </c>
      <c r="J10" s="13" t="s">
        <v>3519</v>
      </c>
      <c r="K10" s="13" t="s">
        <v>3520</v>
      </c>
      <c r="L10" s="14" t="s">
        <v>2064</v>
      </c>
      <c r="M10" s="14" t="s">
        <v>44</v>
      </c>
      <c r="N10" s="14" t="s">
        <v>528</v>
      </c>
      <c r="O10" s="14" t="s">
        <v>3521</v>
      </c>
      <c r="P10" s="14" t="s">
        <v>41</v>
      </c>
      <c r="Q10" s="14"/>
      <c r="R10" s="14" t="s">
        <v>3485</v>
      </c>
    </row>
    <row r="11" customFormat="false" ht="23.85" hidden="false" customHeight="false" outlineLevel="0" collapsed="false">
      <c r="A11" s="12" t="s">
        <v>3522</v>
      </c>
      <c r="B11" s="12" t="s">
        <v>45</v>
      </c>
      <c r="C11" s="12" t="s">
        <v>142</v>
      </c>
      <c r="D11" s="13" t="s">
        <v>3523</v>
      </c>
      <c r="E11" s="13" t="s">
        <v>3524</v>
      </c>
      <c r="F11" s="13" t="s">
        <v>3525</v>
      </c>
      <c r="G11" s="13" t="s">
        <v>144</v>
      </c>
      <c r="H11" s="13"/>
      <c r="I11" s="13" t="s">
        <v>1689</v>
      </c>
      <c r="J11" s="13" t="s">
        <v>3526</v>
      </c>
      <c r="K11" s="13" t="s">
        <v>3527</v>
      </c>
      <c r="L11" s="14" t="s">
        <v>1693</v>
      </c>
      <c r="M11" s="14" t="s">
        <v>41</v>
      </c>
      <c r="N11" s="14"/>
      <c r="O11" s="14" t="s">
        <v>1693</v>
      </c>
      <c r="P11" s="14" t="s">
        <v>41</v>
      </c>
      <c r="Q11" s="14"/>
      <c r="R11" s="14" t="s">
        <v>3485</v>
      </c>
    </row>
    <row r="12" customFormat="false" ht="23.85" hidden="false" customHeight="false" outlineLevel="0" collapsed="false">
      <c r="A12" s="12" t="s">
        <v>3528</v>
      </c>
      <c r="B12" s="12" t="s">
        <v>45</v>
      </c>
      <c r="C12" s="12" t="s">
        <v>142</v>
      </c>
      <c r="D12" s="13" t="s">
        <v>3529</v>
      </c>
      <c r="E12" s="13" t="s">
        <v>3530</v>
      </c>
      <c r="F12" s="13" t="s">
        <v>3531</v>
      </c>
      <c r="G12" s="13" t="s">
        <v>144</v>
      </c>
      <c r="H12" s="13"/>
      <c r="I12" s="13" t="s">
        <v>1689</v>
      </c>
      <c r="J12" s="13" t="s">
        <v>3532</v>
      </c>
      <c r="K12" s="13" t="s">
        <v>3533</v>
      </c>
      <c r="L12" s="14" t="s">
        <v>1693</v>
      </c>
      <c r="M12" s="14" t="s">
        <v>41</v>
      </c>
      <c r="N12" s="14"/>
      <c r="O12" s="14" t="s">
        <v>1693</v>
      </c>
      <c r="P12" s="14" t="s">
        <v>41</v>
      </c>
      <c r="Q12" s="14"/>
      <c r="R12" s="14" t="s">
        <v>3485</v>
      </c>
    </row>
    <row r="13" customFormat="false" ht="35.05" hidden="false" customHeight="false" outlineLevel="0" collapsed="false">
      <c r="A13" s="12" t="s">
        <v>3534</v>
      </c>
      <c r="B13" s="12" t="s">
        <v>45</v>
      </c>
      <c r="C13" s="12" t="s">
        <v>142</v>
      </c>
      <c r="D13" s="13" t="s">
        <v>3535</v>
      </c>
      <c r="E13" s="13" t="s">
        <v>3536</v>
      </c>
      <c r="F13" s="13" t="s">
        <v>3537</v>
      </c>
      <c r="G13" s="13" t="s">
        <v>144</v>
      </c>
      <c r="H13" s="13"/>
      <c r="I13" s="13" t="s">
        <v>1701</v>
      </c>
      <c r="J13" s="13" t="s">
        <v>3538</v>
      </c>
      <c r="K13" s="13" t="s">
        <v>3539</v>
      </c>
      <c r="L13" s="14" t="s">
        <v>3540</v>
      </c>
      <c r="M13" s="14" t="s">
        <v>41</v>
      </c>
      <c r="N13" s="14"/>
      <c r="O13" s="14" t="s">
        <v>3540</v>
      </c>
      <c r="P13" s="14" t="s">
        <v>41</v>
      </c>
      <c r="Q13" s="14"/>
      <c r="R13" s="14" t="s">
        <v>3485</v>
      </c>
    </row>
    <row r="14" customFormat="false" ht="23.85" hidden="false" customHeight="false" outlineLevel="0" collapsed="false">
      <c r="A14" s="12" t="s">
        <v>3541</v>
      </c>
      <c r="B14" s="12" t="s">
        <v>45</v>
      </c>
      <c r="C14" s="12" t="s">
        <v>142</v>
      </c>
      <c r="D14" s="13" t="s">
        <v>3542</v>
      </c>
      <c r="E14" s="13" t="s">
        <v>3543</v>
      </c>
      <c r="F14" s="13" t="s">
        <v>3544</v>
      </c>
      <c r="G14" s="13" t="s">
        <v>144</v>
      </c>
      <c r="H14" s="13"/>
      <c r="I14" s="13" t="s">
        <v>3504</v>
      </c>
      <c r="J14" s="13" t="s">
        <v>3545</v>
      </c>
      <c r="K14" s="13" t="s">
        <v>3546</v>
      </c>
      <c r="L14" s="14" t="s">
        <v>2064</v>
      </c>
      <c r="M14" s="14" t="s">
        <v>44</v>
      </c>
      <c r="N14" s="14" t="s">
        <v>528</v>
      </c>
      <c r="O14" s="14" t="s">
        <v>3547</v>
      </c>
      <c r="P14" s="14" t="s">
        <v>41</v>
      </c>
      <c r="Q14" s="14"/>
      <c r="R14" s="14" t="s">
        <v>3485</v>
      </c>
    </row>
    <row r="15" customFormat="false" ht="35.05" hidden="false" customHeight="false" outlineLevel="0" collapsed="false">
      <c r="A15" s="12" t="s">
        <v>3548</v>
      </c>
      <c r="B15" s="12" t="s">
        <v>46</v>
      </c>
      <c r="C15" s="12" t="s">
        <v>142</v>
      </c>
      <c r="D15" s="13" t="s">
        <v>3549</v>
      </c>
      <c r="E15" s="13" t="s">
        <v>3550</v>
      </c>
      <c r="F15" s="13" t="s">
        <v>3551</v>
      </c>
      <c r="G15" s="13" t="s">
        <v>144</v>
      </c>
      <c r="H15" s="13"/>
      <c r="I15" s="13" t="s">
        <v>1701</v>
      </c>
      <c r="J15" s="13" t="s">
        <v>3552</v>
      </c>
      <c r="K15" s="13" t="s">
        <v>3553</v>
      </c>
      <c r="L15" s="14" t="s">
        <v>1768</v>
      </c>
      <c r="M15" s="14" t="s">
        <v>44</v>
      </c>
      <c r="N15" s="14" t="s">
        <v>501</v>
      </c>
      <c r="O15" s="14" t="s">
        <v>3554</v>
      </c>
      <c r="P15" s="14" t="s">
        <v>41</v>
      </c>
      <c r="Q15" s="14"/>
      <c r="R15" s="14" t="s">
        <v>3485</v>
      </c>
    </row>
    <row r="16" customFormat="false" ht="35.05" hidden="false" customHeight="false" outlineLevel="0" collapsed="false">
      <c r="A16" s="12" t="s">
        <v>3555</v>
      </c>
      <c r="B16" s="12" t="s">
        <v>46</v>
      </c>
      <c r="C16" s="12" t="s">
        <v>142</v>
      </c>
      <c r="D16" s="13" t="s">
        <v>3556</v>
      </c>
      <c r="E16" s="13" t="s">
        <v>3557</v>
      </c>
      <c r="F16" s="13" t="s">
        <v>3558</v>
      </c>
      <c r="G16" s="13" t="s">
        <v>144</v>
      </c>
      <c r="H16" s="13"/>
      <c r="I16" s="13" t="s">
        <v>1701</v>
      </c>
      <c r="J16" s="13" t="s">
        <v>3559</v>
      </c>
      <c r="K16" s="13" t="s">
        <v>3560</v>
      </c>
      <c r="L16" s="14" t="s">
        <v>3561</v>
      </c>
      <c r="M16" s="14" t="s">
        <v>41</v>
      </c>
      <c r="N16" s="14"/>
      <c r="O16" s="14" t="s">
        <v>3561</v>
      </c>
      <c r="P16" s="14" t="s">
        <v>41</v>
      </c>
      <c r="Q16" s="14"/>
      <c r="R16" s="14" t="s">
        <v>3485</v>
      </c>
    </row>
    <row r="17" customFormat="false" ht="23.85" hidden="false" customHeight="false" outlineLevel="0" collapsed="false">
      <c r="A17" s="12" t="s">
        <v>3562</v>
      </c>
      <c r="B17" s="12" t="s">
        <v>46</v>
      </c>
      <c r="C17" s="12" t="s">
        <v>142</v>
      </c>
      <c r="D17" s="13" t="s">
        <v>3563</v>
      </c>
      <c r="E17" s="13" t="s">
        <v>3564</v>
      </c>
      <c r="F17" s="13" t="s">
        <v>3565</v>
      </c>
      <c r="G17" s="13" t="s">
        <v>144</v>
      </c>
      <c r="H17" s="13"/>
      <c r="I17" s="13" t="s">
        <v>3504</v>
      </c>
      <c r="J17" s="13" t="s">
        <v>3566</v>
      </c>
      <c r="K17" s="13" t="s">
        <v>3567</v>
      </c>
      <c r="L17" s="14" t="s">
        <v>1768</v>
      </c>
      <c r="M17" s="14" t="s">
        <v>44</v>
      </c>
      <c r="N17" s="14" t="s">
        <v>528</v>
      </c>
      <c r="O17" s="14" t="s">
        <v>3568</v>
      </c>
      <c r="P17" s="14" t="s">
        <v>41</v>
      </c>
      <c r="Q17" s="14"/>
      <c r="R17" s="14" t="s">
        <v>3485</v>
      </c>
    </row>
    <row r="18" customFormat="false" ht="23.85" hidden="false" customHeight="false" outlineLevel="0" collapsed="false">
      <c r="A18" s="12" t="s">
        <v>3569</v>
      </c>
      <c r="B18" s="12" t="s">
        <v>46</v>
      </c>
      <c r="C18" s="12" t="s">
        <v>142</v>
      </c>
      <c r="D18" s="13" t="s">
        <v>3570</v>
      </c>
      <c r="E18" s="13" t="s">
        <v>3571</v>
      </c>
      <c r="F18" s="13" t="s">
        <v>3572</v>
      </c>
      <c r="G18" s="13" t="s">
        <v>144</v>
      </c>
      <c r="H18" s="13"/>
      <c r="I18" s="13" t="s">
        <v>3504</v>
      </c>
      <c r="J18" s="13" t="s">
        <v>3573</v>
      </c>
      <c r="K18" s="13" t="s">
        <v>3574</v>
      </c>
      <c r="L18" s="14" t="s">
        <v>2064</v>
      </c>
      <c r="M18" s="14" t="s">
        <v>44</v>
      </c>
      <c r="N18" s="14" t="s">
        <v>528</v>
      </c>
      <c r="O18" s="14" t="s">
        <v>3521</v>
      </c>
      <c r="P18" s="14" t="s">
        <v>41</v>
      </c>
      <c r="Q18" s="14"/>
      <c r="R18" s="14" t="s">
        <v>3485</v>
      </c>
    </row>
    <row r="19" customFormat="false" ht="23.85" hidden="false" customHeight="false" outlineLevel="0" collapsed="false">
      <c r="A19" s="12" t="s">
        <v>3575</v>
      </c>
      <c r="B19" s="12" t="s">
        <v>46</v>
      </c>
      <c r="C19" s="12" t="s">
        <v>142</v>
      </c>
      <c r="D19" s="13" t="s">
        <v>3576</v>
      </c>
      <c r="E19" s="13" t="s">
        <v>3577</v>
      </c>
      <c r="F19" s="13" t="s">
        <v>3578</v>
      </c>
      <c r="G19" s="13" t="s">
        <v>144</v>
      </c>
      <c r="H19" s="13"/>
      <c r="I19" s="13" t="s">
        <v>1689</v>
      </c>
      <c r="J19" s="13" t="s">
        <v>3579</v>
      </c>
      <c r="K19" s="13" t="s">
        <v>3580</v>
      </c>
      <c r="L19" s="14" t="s">
        <v>1693</v>
      </c>
      <c r="M19" s="14" t="s">
        <v>41</v>
      </c>
      <c r="N19" s="14"/>
      <c r="O19" s="14" t="s">
        <v>1693</v>
      </c>
      <c r="P19" s="14" t="s">
        <v>41</v>
      </c>
      <c r="Q19" s="14"/>
      <c r="R19" s="14" t="s">
        <v>3485</v>
      </c>
    </row>
    <row r="20" customFormat="false" ht="23.85" hidden="false" customHeight="false" outlineLevel="0" collapsed="false">
      <c r="A20" s="12" t="s">
        <v>3581</v>
      </c>
      <c r="B20" s="12" t="s">
        <v>46</v>
      </c>
      <c r="C20" s="12" t="s">
        <v>142</v>
      </c>
      <c r="D20" s="13" t="s">
        <v>3582</v>
      </c>
      <c r="E20" s="13" t="s">
        <v>3583</v>
      </c>
      <c r="F20" s="13" t="s">
        <v>3584</v>
      </c>
      <c r="G20" s="13" t="s">
        <v>144</v>
      </c>
      <c r="H20" s="13"/>
      <c r="I20" s="13" t="s">
        <v>1689</v>
      </c>
      <c r="J20" s="13" t="s">
        <v>3585</v>
      </c>
      <c r="K20" s="13" t="s">
        <v>3586</v>
      </c>
      <c r="L20" s="14" t="s">
        <v>1693</v>
      </c>
      <c r="M20" s="14" t="s">
        <v>41</v>
      </c>
      <c r="N20" s="14"/>
      <c r="O20" s="14" t="s">
        <v>1693</v>
      </c>
      <c r="P20" s="14" t="s">
        <v>41</v>
      </c>
      <c r="Q20" s="14"/>
      <c r="R20" s="14" t="s">
        <v>3485</v>
      </c>
    </row>
    <row r="21" customFormat="false" ht="23.85" hidden="false" customHeight="false" outlineLevel="0" collapsed="false">
      <c r="A21" s="12" t="s">
        <v>3587</v>
      </c>
      <c r="B21" s="12" t="s">
        <v>46</v>
      </c>
      <c r="C21" s="12" t="s">
        <v>142</v>
      </c>
      <c r="D21" s="13" t="s">
        <v>3588</v>
      </c>
      <c r="E21" s="13" t="s">
        <v>3589</v>
      </c>
      <c r="F21" s="13" t="s">
        <v>3590</v>
      </c>
      <c r="G21" s="13" t="s">
        <v>144</v>
      </c>
      <c r="H21" s="13"/>
      <c r="I21" s="13" t="s">
        <v>3504</v>
      </c>
      <c r="J21" s="13" t="s">
        <v>3591</v>
      </c>
      <c r="K21" s="13" t="s">
        <v>3592</v>
      </c>
      <c r="L21" s="14" t="s">
        <v>3593</v>
      </c>
      <c r="M21" s="14" t="s">
        <v>41</v>
      </c>
      <c r="N21" s="14"/>
      <c r="O21" s="14" t="s">
        <v>3593</v>
      </c>
      <c r="P21" s="14" t="s">
        <v>41</v>
      </c>
      <c r="Q21" s="14"/>
      <c r="R21" s="14" t="s">
        <v>3485</v>
      </c>
    </row>
    <row r="22" customFormat="false" ht="35.05" hidden="false" customHeight="false" outlineLevel="0" collapsed="false">
      <c r="A22" s="12" t="s">
        <v>3594</v>
      </c>
      <c r="B22" s="12" t="s">
        <v>46</v>
      </c>
      <c r="C22" s="12" t="s">
        <v>142</v>
      </c>
      <c r="D22" s="13" t="s">
        <v>3595</v>
      </c>
      <c r="E22" s="13" t="s">
        <v>3596</v>
      </c>
      <c r="F22" s="13" t="s">
        <v>3597</v>
      </c>
      <c r="G22" s="13" t="s">
        <v>144</v>
      </c>
      <c r="H22" s="13"/>
      <c r="I22" s="13" t="s">
        <v>1701</v>
      </c>
      <c r="J22" s="13" t="s">
        <v>3598</v>
      </c>
      <c r="K22" s="13" t="s">
        <v>3599</v>
      </c>
      <c r="L22" s="14" t="s">
        <v>3600</v>
      </c>
      <c r="M22" s="14" t="s">
        <v>41</v>
      </c>
      <c r="N22" s="14"/>
      <c r="O22" s="14" t="s">
        <v>3600</v>
      </c>
      <c r="P22" s="14" t="s">
        <v>41</v>
      </c>
      <c r="Q22" s="14"/>
      <c r="R22" s="14" t="s">
        <v>3485</v>
      </c>
    </row>
    <row r="23" customFormat="false" ht="35.05" hidden="false" customHeight="false" outlineLevel="0" collapsed="false">
      <c r="A23" s="12" t="s">
        <v>3601</v>
      </c>
      <c r="B23" s="12" t="s">
        <v>46</v>
      </c>
      <c r="C23" s="12" t="s">
        <v>142</v>
      </c>
      <c r="D23" s="13" t="s">
        <v>3602</v>
      </c>
      <c r="E23" s="13" t="s">
        <v>3603</v>
      </c>
      <c r="F23" s="13" t="s">
        <v>3604</v>
      </c>
      <c r="G23" s="13" t="s">
        <v>144</v>
      </c>
      <c r="H23" s="13"/>
      <c r="I23" s="13" t="s">
        <v>1701</v>
      </c>
      <c r="J23" s="13" t="s">
        <v>3605</v>
      </c>
      <c r="K23" s="13" t="s">
        <v>3606</v>
      </c>
      <c r="L23" s="14" t="s">
        <v>3607</v>
      </c>
      <c r="M23" s="14" t="s">
        <v>41</v>
      </c>
      <c r="N23" s="14"/>
      <c r="O23" s="14" t="s">
        <v>3607</v>
      </c>
      <c r="P23" s="14" t="s">
        <v>41</v>
      </c>
      <c r="Q23" s="14"/>
      <c r="R23" s="14" t="s">
        <v>3485</v>
      </c>
    </row>
    <row r="24" customFormat="false" ht="23.85" hidden="false" customHeight="false" outlineLevel="0" collapsed="false">
      <c r="A24" s="12" t="s">
        <v>3608</v>
      </c>
      <c r="B24" s="12" t="s">
        <v>46</v>
      </c>
      <c r="C24" s="12" t="s">
        <v>142</v>
      </c>
      <c r="D24" s="13" t="s">
        <v>3609</v>
      </c>
      <c r="E24" s="13" t="s">
        <v>3610</v>
      </c>
      <c r="F24" s="13" t="s">
        <v>3611</v>
      </c>
      <c r="G24" s="13" t="s">
        <v>144</v>
      </c>
      <c r="H24" s="13"/>
      <c r="I24" s="13" t="s">
        <v>3504</v>
      </c>
      <c r="J24" s="13" t="s">
        <v>3612</v>
      </c>
      <c r="K24" s="13" t="s">
        <v>3613</v>
      </c>
      <c r="L24" s="14" t="s">
        <v>2064</v>
      </c>
      <c r="M24" s="14" t="s">
        <v>44</v>
      </c>
      <c r="N24" s="14" t="s">
        <v>528</v>
      </c>
      <c r="O24" s="14" t="s">
        <v>3614</v>
      </c>
      <c r="P24" s="14" t="s">
        <v>41</v>
      </c>
      <c r="Q24" s="14"/>
      <c r="R24" s="14" t="s">
        <v>3485</v>
      </c>
    </row>
    <row r="25" customFormat="false" ht="23.85" hidden="false" customHeight="false" outlineLevel="0" collapsed="false">
      <c r="A25" s="12" t="s">
        <v>3615</v>
      </c>
      <c r="B25" s="12" t="s">
        <v>47</v>
      </c>
      <c r="C25" s="12" t="s">
        <v>142</v>
      </c>
      <c r="D25" s="13" t="s">
        <v>3616</v>
      </c>
      <c r="E25" s="13" t="s">
        <v>3617</v>
      </c>
      <c r="F25" s="13" t="s">
        <v>3618</v>
      </c>
      <c r="G25" s="13" t="s">
        <v>206</v>
      </c>
      <c r="H25" s="13"/>
      <c r="I25" s="13" t="s">
        <v>387</v>
      </c>
      <c r="J25" s="13" t="s">
        <v>3619</v>
      </c>
      <c r="K25" s="13" t="s">
        <v>3620</v>
      </c>
      <c r="L25" s="14" t="s">
        <v>3621</v>
      </c>
      <c r="M25" s="14" t="s">
        <v>41</v>
      </c>
      <c r="N25" s="14"/>
      <c r="O25" s="14" t="s">
        <v>3621</v>
      </c>
      <c r="P25" s="14" t="s">
        <v>41</v>
      </c>
      <c r="Q25" s="14"/>
      <c r="R25" s="14" t="s">
        <v>3485</v>
      </c>
    </row>
    <row r="26" customFormat="false" ht="23.85" hidden="false" customHeight="false" outlineLevel="0" collapsed="false">
      <c r="A26" s="12" t="s">
        <v>3622</v>
      </c>
      <c r="B26" s="12" t="s">
        <v>47</v>
      </c>
      <c r="C26" s="12" t="s">
        <v>142</v>
      </c>
      <c r="D26" s="13" t="s">
        <v>3623</v>
      </c>
      <c r="E26" s="13" t="s">
        <v>3624</v>
      </c>
      <c r="F26" s="13" t="s">
        <v>3625</v>
      </c>
      <c r="G26" s="13" t="s">
        <v>178</v>
      </c>
      <c r="H26" s="13" t="s">
        <v>591</v>
      </c>
      <c r="I26" s="13" t="s">
        <v>1460</v>
      </c>
      <c r="J26" s="13"/>
      <c r="K26" s="13" t="s">
        <v>3626</v>
      </c>
      <c r="L26" s="14" t="s">
        <v>1463</v>
      </c>
      <c r="M26" s="14" t="s">
        <v>41</v>
      </c>
      <c r="N26" s="14"/>
      <c r="O26" s="14" t="s">
        <v>1463</v>
      </c>
      <c r="P26" s="14" t="s">
        <v>41</v>
      </c>
      <c r="Q26" s="14"/>
      <c r="R26" s="14" t="s">
        <v>3485</v>
      </c>
    </row>
    <row r="27" customFormat="false" ht="23.85" hidden="false" customHeight="false" outlineLevel="0" collapsed="false">
      <c r="A27" s="12" t="s">
        <v>3627</v>
      </c>
      <c r="B27" s="12" t="s">
        <v>47</v>
      </c>
      <c r="C27" s="12" t="s">
        <v>142</v>
      </c>
      <c r="D27" s="13" t="s">
        <v>3628</v>
      </c>
      <c r="E27" s="13" t="s">
        <v>3629</v>
      </c>
      <c r="F27" s="13" t="s">
        <v>3630</v>
      </c>
      <c r="G27" s="13" t="s">
        <v>178</v>
      </c>
      <c r="H27" s="13" t="s">
        <v>591</v>
      </c>
      <c r="I27" s="13" t="s">
        <v>1460</v>
      </c>
      <c r="J27" s="13"/>
      <c r="K27" s="13" t="s">
        <v>3631</v>
      </c>
      <c r="L27" s="14" t="s">
        <v>3632</v>
      </c>
      <c r="M27" s="14" t="s">
        <v>43</v>
      </c>
      <c r="N27" s="14" t="s">
        <v>3633</v>
      </c>
      <c r="O27" s="14" t="s">
        <v>1471</v>
      </c>
      <c r="P27" s="14" t="s">
        <v>41</v>
      </c>
      <c r="Q27" s="14"/>
      <c r="R27" s="14" t="s">
        <v>3485</v>
      </c>
    </row>
    <row r="28" customFormat="false" ht="23.85" hidden="false" customHeight="false" outlineLevel="0" collapsed="false">
      <c r="A28" s="12" t="s">
        <v>3634</v>
      </c>
      <c r="B28" s="12" t="s">
        <v>47</v>
      </c>
      <c r="C28" s="12" t="s">
        <v>142</v>
      </c>
      <c r="D28" s="13" t="s">
        <v>3635</v>
      </c>
      <c r="E28" s="13" t="s">
        <v>3636</v>
      </c>
      <c r="F28" s="13" t="s">
        <v>3637</v>
      </c>
      <c r="G28" s="13" t="s">
        <v>144</v>
      </c>
      <c r="H28" s="13"/>
      <c r="I28" s="13" t="s">
        <v>3504</v>
      </c>
      <c r="J28" s="13" t="s">
        <v>3638</v>
      </c>
      <c r="K28" s="13" t="s">
        <v>3639</v>
      </c>
      <c r="L28" s="14" t="s">
        <v>2064</v>
      </c>
      <c r="M28" s="14" t="s">
        <v>44</v>
      </c>
      <c r="N28" s="14" t="s">
        <v>528</v>
      </c>
      <c r="O28" s="14" t="s">
        <v>3640</v>
      </c>
      <c r="P28" s="14" t="s">
        <v>41</v>
      </c>
      <c r="Q28" s="14"/>
      <c r="R28" s="14" t="s">
        <v>3485</v>
      </c>
    </row>
    <row r="29" customFormat="false" ht="35.05" hidden="false" customHeight="false" outlineLevel="0" collapsed="false">
      <c r="A29" s="12" t="s">
        <v>3641</v>
      </c>
      <c r="B29" s="12" t="s">
        <v>47</v>
      </c>
      <c r="C29" s="12" t="s">
        <v>142</v>
      </c>
      <c r="D29" s="13" t="s">
        <v>3642</v>
      </c>
      <c r="E29" s="13" t="s">
        <v>3643</v>
      </c>
      <c r="F29" s="13" t="s">
        <v>3644</v>
      </c>
      <c r="G29" s="13" t="s">
        <v>144</v>
      </c>
      <c r="H29" s="13"/>
      <c r="I29" s="13" t="s">
        <v>1701</v>
      </c>
      <c r="J29" s="13" t="s">
        <v>3645</v>
      </c>
      <c r="K29" s="13" t="s">
        <v>3254</v>
      </c>
      <c r="L29" s="14" t="s">
        <v>3646</v>
      </c>
      <c r="M29" s="14" t="s">
        <v>41</v>
      </c>
      <c r="N29" s="14"/>
      <c r="O29" s="14" t="s">
        <v>3646</v>
      </c>
      <c r="P29" s="14" t="s">
        <v>41</v>
      </c>
      <c r="Q29" s="14"/>
      <c r="R29" s="14" t="s">
        <v>3485</v>
      </c>
    </row>
    <row r="30" customFormat="false" ht="23.85" hidden="false" customHeight="false" outlineLevel="0" collapsed="false">
      <c r="A30" s="12" t="s">
        <v>3647</v>
      </c>
      <c r="B30" s="12" t="s">
        <v>47</v>
      </c>
      <c r="C30" s="12" t="s">
        <v>142</v>
      </c>
      <c r="D30" s="13" t="s">
        <v>3648</v>
      </c>
      <c r="E30" s="13" t="s">
        <v>3649</v>
      </c>
      <c r="F30" s="13" t="s">
        <v>3650</v>
      </c>
      <c r="G30" s="13" t="s">
        <v>144</v>
      </c>
      <c r="H30" s="13"/>
      <c r="I30" s="13" t="s">
        <v>3504</v>
      </c>
      <c r="J30" s="13" t="s">
        <v>3651</v>
      </c>
      <c r="K30" s="13" t="s">
        <v>3652</v>
      </c>
      <c r="L30" s="14" t="s">
        <v>1768</v>
      </c>
      <c r="M30" s="14" t="s">
        <v>44</v>
      </c>
      <c r="N30" s="14" t="s">
        <v>528</v>
      </c>
      <c r="O30" s="14" t="s">
        <v>3653</v>
      </c>
      <c r="P30" s="14" t="s">
        <v>41</v>
      </c>
      <c r="Q30" s="14"/>
      <c r="R30" s="14" t="s">
        <v>3485</v>
      </c>
    </row>
    <row r="31" customFormat="false" ht="35.05" hidden="false" customHeight="false" outlineLevel="0" collapsed="false">
      <c r="A31" s="12" t="s">
        <v>3654</v>
      </c>
      <c r="B31" s="12" t="s">
        <v>47</v>
      </c>
      <c r="C31" s="12" t="s">
        <v>142</v>
      </c>
      <c r="D31" s="13" t="s">
        <v>3655</v>
      </c>
      <c r="E31" s="13" t="s">
        <v>3656</v>
      </c>
      <c r="F31" s="13" t="s">
        <v>3657</v>
      </c>
      <c r="G31" s="13" t="s">
        <v>144</v>
      </c>
      <c r="H31" s="13"/>
      <c r="I31" s="13" t="s">
        <v>1701</v>
      </c>
      <c r="J31" s="13" t="s">
        <v>3658</v>
      </c>
      <c r="K31" s="13" t="s">
        <v>3659</v>
      </c>
      <c r="L31" s="14" t="s">
        <v>3660</v>
      </c>
      <c r="M31" s="14" t="s">
        <v>44</v>
      </c>
      <c r="N31" s="14" t="s">
        <v>3661</v>
      </c>
      <c r="O31" s="14" t="s">
        <v>3662</v>
      </c>
      <c r="P31" s="14" t="s">
        <v>41</v>
      </c>
      <c r="Q31" s="14"/>
      <c r="R31" s="14" t="s">
        <v>3485</v>
      </c>
    </row>
    <row r="32" customFormat="false" ht="23.85" hidden="false" customHeight="false" outlineLevel="0" collapsed="false">
      <c r="A32" s="12" t="s">
        <v>3663</v>
      </c>
      <c r="B32" s="12" t="s">
        <v>47</v>
      </c>
      <c r="C32" s="12" t="s">
        <v>142</v>
      </c>
      <c r="D32" s="13" t="s">
        <v>3664</v>
      </c>
      <c r="E32" s="13" t="s">
        <v>3665</v>
      </c>
      <c r="F32" s="13" t="s">
        <v>3666</v>
      </c>
      <c r="G32" s="13" t="s">
        <v>178</v>
      </c>
      <c r="H32" s="13" t="s">
        <v>591</v>
      </c>
      <c r="I32" s="13" t="s">
        <v>1460</v>
      </c>
      <c r="J32" s="13"/>
      <c r="K32" s="13" t="s">
        <v>3667</v>
      </c>
      <c r="L32" s="14" t="s">
        <v>3668</v>
      </c>
      <c r="M32" s="14" t="s">
        <v>41</v>
      </c>
      <c r="N32" s="14"/>
      <c r="O32" s="14" t="s">
        <v>1471</v>
      </c>
      <c r="P32" s="14" t="s">
        <v>41</v>
      </c>
      <c r="Q32" s="14"/>
      <c r="R32" s="14" t="s">
        <v>3485</v>
      </c>
    </row>
    <row r="33" customFormat="false" ht="23.85" hidden="false" customHeight="false" outlineLevel="0" collapsed="false">
      <c r="A33" s="12" t="s">
        <v>3669</v>
      </c>
      <c r="B33" s="12" t="s">
        <v>47</v>
      </c>
      <c r="C33" s="12" t="s">
        <v>142</v>
      </c>
      <c r="D33" s="13" t="s">
        <v>3670</v>
      </c>
      <c r="E33" s="13" t="s">
        <v>3671</v>
      </c>
      <c r="F33" s="13" t="s">
        <v>3672</v>
      </c>
      <c r="G33" s="13" t="s">
        <v>206</v>
      </c>
      <c r="H33" s="13"/>
      <c r="I33" s="13" t="s">
        <v>387</v>
      </c>
      <c r="J33" s="13" t="s">
        <v>3673</v>
      </c>
      <c r="K33" s="13" t="s">
        <v>3674</v>
      </c>
      <c r="L33" s="14" t="s">
        <v>3621</v>
      </c>
      <c r="M33" s="14" t="s">
        <v>41</v>
      </c>
      <c r="N33" s="14"/>
      <c r="O33" s="14" t="s">
        <v>3621</v>
      </c>
      <c r="P33" s="14" t="s">
        <v>41</v>
      </c>
      <c r="Q33" s="14"/>
      <c r="R33" s="14" t="s">
        <v>3485</v>
      </c>
    </row>
    <row r="34" customFormat="false" ht="23.85" hidden="false" customHeight="false" outlineLevel="0" collapsed="false">
      <c r="A34" s="12" t="s">
        <v>3675</v>
      </c>
      <c r="B34" s="12" t="s">
        <v>47</v>
      </c>
      <c r="C34" s="12" t="s">
        <v>142</v>
      </c>
      <c r="D34" s="13" t="s">
        <v>3676</v>
      </c>
      <c r="E34" s="13" t="s">
        <v>3677</v>
      </c>
      <c r="F34" s="13" t="s">
        <v>3678</v>
      </c>
      <c r="G34" s="13" t="s">
        <v>178</v>
      </c>
      <c r="H34" s="13" t="s">
        <v>591</v>
      </c>
      <c r="I34" s="13" t="s">
        <v>1460</v>
      </c>
      <c r="J34" s="13"/>
      <c r="K34" s="13" t="s">
        <v>3679</v>
      </c>
      <c r="L34" s="14" t="s">
        <v>1471</v>
      </c>
      <c r="M34" s="14" t="s">
        <v>41</v>
      </c>
      <c r="N34" s="14"/>
      <c r="O34" s="14" t="s">
        <v>1471</v>
      </c>
      <c r="P34" s="14" t="s">
        <v>41</v>
      </c>
      <c r="Q34" s="14"/>
      <c r="R34" s="14" t="s">
        <v>3485</v>
      </c>
    </row>
    <row r="35" customFormat="false" ht="46.25" hidden="false" customHeight="false" outlineLevel="0" collapsed="false">
      <c r="A35" s="12" t="s">
        <v>3680</v>
      </c>
      <c r="B35" s="12" t="s">
        <v>48</v>
      </c>
      <c r="C35" s="12" t="s">
        <v>142</v>
      </c>
      <c r="D35" s="13" t="s">
        <v>3681</v>
      </c>
      <c r="E35" s="13" t="s">
        <v>3682</v>
      </c>
      <c r="F35" s="13" t="s">
        <v>3683</v>
      </c>
      <c r="G35" s="13" t="s">
        <v>144</v>
      </c>
      <c r="H35" s="13" t="s">
        <v>95</v>
      </c>
      <c r="I35" s="13" t="s">
        <v>1647</v>
      </c>
      <c r="J35" s="13" t="s">
        <v>3684</v>
      </c>
      <c r="K35" s="13" t="s">
        <v>3685</v>
      </c>
      <c r="L35" s="14" t="s">
        <v>2064</v>
      </c>
      <c r="M35" s="14" t="s">
        <v>44</v>
      </c>
      <c r="N35" s="14" t="s">
        <v>242</v>
      </c>
      <c r="O35" s="14" t="s">
        <v>3686</v>
      </c>
      <c r="P35" s="14" t="s">
        <v>41</v>
      </c>
      <c r="Q35" s="14"/>
      <c r="R35" s="14" t="s">
        <v>3485</v>
      </c>
    </row>
    <row r="36" customFormat="false" ht="46.25" hidden="false" customHeight="false" outlineLevel="0" collapsed="false">
      <c r="A36" s="12" t="s">
        <v>3687</v>
      </c>
      <c r="B36" s="12" t="s">
        <v>48</v>
      </c>
      <c r="C36" s="12" t="s">
        <v>142</v>
      </c>
      <c r="D36" s="13" t="s">
        <v>3688</v>
      </c>
      <c r="E36" s="13" t="s">
        <v>3689</v>
      </c>
      <c r="F36" s="13" t="s">
        <v>3690</v>
      </c>
      <c r="G36" s="13" t="s">
        <v>144</v>
      </c>
      <c r="H36" s="13" t="s">
        <v>97</v>
      </c>
      <c r="I36" s="13" t="s">
        <v>1613</v>
      </c>
      <c r="J36" s="13" t="s">
        <v>3691</v>
      </c>
      <c r="K36" s="13" t="s">
        <v>3692</v>
      </c>
      <c r="L36" s="14" t="s">
        <v>3693</v>
      </c>
      <c r="M36" s="14" t="s">
        <v>41</v>
      </c>
      <c r="N36" s="14"/>
      <c r="O36" s="14" t="s">
        <v>3693</v>
      </c>
      <c r="P36" s="14" t="s">
        <v>41</v>
      </c>
      <c r="Q36" s="14"/>
      <c r="R36" s="14" t="s">
        <v>3485</v>
      </c>
    </row>
    <row r="37" customFormat="false" ht="23.85" hidden="false" customHeight="false" outlineLevel="0" collapsed="false">
      <c r="A37" s="12" t="s">
        <v>3694</v>
      </c>
      <c r="B37" s="12" t="s">
        <v>48</v>
      </c>
      <c r="C37" s="12" t="s">
        <v>142</v>
      </c>
      <c r="D37" s="13" t="s">
        <v>3695</v>
      </c>
      <c r="E37" s="13" t="s">
        <v>3696</v>
      </c>
      <c r="F37" s="13" t="s">
        <v>3697</v>
      </c>
      <c r="G37" s="13" t="s">
        <v>144</v>
      </c>
      <c r="H37" s="13"/>
      <c r="I37" s="13" t="s">
        <v>1636</v>
      </c>
      <c r="J37" s="13" t="s">
        <v>3698</v>
      </c>
      <c r="K37" s="13" t="s">
        <v>3699</v>
      </c>
      <c r="L37" s="14" t="s">
        <v>3700</v>
      </c>
      <c r="M37" s="14" t="s">
        <v>41</v>
      </c>
      <c r="N37" s="14"/>
      <c r="O37" s="14" t="s">
        <v>3700</v>
      </c>
      <c r="P37" s="14" t="s">
        <v>41</v>
      </c>
      <c r="Q37" s="14"/>
      <c r="R37" s="14" t="s">
        <v>3485</v>
      </c>
    </row>
    <row r="38" customFormat="false" ht="23.85" hidden="false" customHeight="false" outlineLevel="0" collapsed="false">
      <c r="A38" s="12" t="s">
        <v>3694</v>
      </c>
      <c r="B38" s="12" t="s">
        <v>48</v>
      </c>
      <c r="C38" s="12" t="s">
        <v>164</v>
      </c>
      <c r="D38" s="13" t="s">
        <v>3695</v>
      </c>
      <c r="E38" s="13" t="s">
        <v>3696</v>
      </c>
      <c r="F38" s="13" t="s">
        <v>3697</v>
      </c>
      <c r="G38" s="13" t="s">
        <v>144</v>
      </c>
      <c r="H38" s="13"/>
      <c r="I38" s="13" t="s">
        <v>1681</v>
      </c>
      <c r="J38" s="13" t="s">
        <v>3701</v>
      </c>
      <c r="K38" s="13" t="s">
        <v>3699</v>
      </c>
      <c r="L38" s="14" t="s">
        <v>3702</v>
      </c>
      <c r="M38" s="14" t="s">
        <v>41</v>
      </c>
      <c r="N38" s="14"/>
      <c r="O38" s="14" t="s">
        <v>3702</v>
      </c>
      <c r="P38" s="14" t="s">
        <v>41</v>
      </c>
      <c r="Q38" s="14"/>
      <c r="R38" s="14" t="s">
        <v>3485</v>
      </c>
    </row>
    <row r="39" customFormat="false" ht="35.05" hidden="false" customHeight="false" outlineLevel="0" collapsed="false">
      <c r="A39" s="12" t="s">
        <v>3703</v>
      </c>
      <c r="B39" s="12" t="s">
        <v>48</v>
      </c>
      <c r="C39" s="12" t="s">
        <v>142</v>
      </c>
      <c r="D39" s="13" t="s">
        <v>3704</v>
      </c>
      <c r="E39" s="13" t="s">
        <v>3705</v>
      </c>
      <c r="F39" s="13" t="s">
        <v>3706</v>
      </c>
      <c r="G39" s="13" t="s">
        <v>144</v>
      </c>
      <c r="H39" s="13" t="s">
        <v>93</v>
      </c>
      <c r="I39" s="13" t="s">
        <v>1274</v>
      </c>
      <c r="J39" s="13" t="s">
        <v>1657</v>
      </c>
      <c r="K39" s="13" t="s">
        <v>3707</v>
      </c>
      <c r="L39" s="14" t="s">
        <v>3708</v>
      </c>
      <c r="M39" s="14" t="s">
        <v>41</v>
      </c>
      <c r="N39" s="14"/>
      <c r="O39" s="14" t="s">
        <v>3708</v>
      </c>
      <c r="P39" s="14" t="s">
        <v>41</v>
      </c>
      <c r="Q39" s="14"/>
      <c r="R39" s="14" t="s">
        <v>3485</v>
      </c>
    </row>
    <row r="40" customFormat="false" ht="23.85" hidden="false" customHeight="false" outlineLevel="0" collapsed="false">
      <c r="A40" s="12" t="s">
        <v>3709</v>
      </c>
      <c r="B40" s="12" t="s">
        <v>48</v>
      </c>
      <c r="C40" s="12" t="s">
        <v>142</v>
      </c>
      <c r="D40" s="13" t="s">
        <v>3710</v>
      </c>
      <c r="E40" s="13" t="s">
        <v>3711</v>
      </c>
      <c r="F40" s="13" t="s">
        <v>3712</v>
      </c>
      <c r="G40" s="13" t="s">
        <v>144</v>
      </c>
      <c r="H40" s="13"/>
      <c r="I40" s="13" t="s">
        <v>1636</v>
      </c>
      <c r="J40" s="13" t="s">
        <v>3713</v>
      </c>
      <c r="K40" s="13" t="s">
        <v>3714</v>
      </c>
      <c r="L40" s="14" t="s">
        <v>3715</v>
      </c>
      <c r="M40" s="14" t="s">
        <v>41</v>
      </c>
      <c r="N40" s="14"/>
      <c r="O40" s="14" t="s">
        <v>3715</v>
      </c>
      <c r="P40" s="14" t="s">
        <v>41</v>
      </c>
      <c r="Q40" s="14"/>
      <c r="R40" s="14" t="s">
        <v>3485</v>
      </c>
    </row>
    <row r="41" customFormat="false" ht="23.85" hidden="false" customHeight="false" outlineLevel="0" collapsed="false">
      <c r="A41" s="12" t="s">
        <v>3709</v>
      </c>
      <c r="B41" s="12" t="s">
        <v>48</v>
      </c>
      <c r="C41" s="12" t="s">
        <v>164</v>
      </c>
      <c r="D41" s="13" t="s">
        <v>3710</v>
      </c>
      <c r="E41" s="13" t="s">
        <v>3711</v>
      </c>
      <c r="F41" s="13" t="s">
        <v>3712</v>
      </c>
      <c r="G41" s="13" t="s">
        <v>144</v>
      </c>
      <c r="H41" s="13"/>
      <c r="I41" s="13" t="s">
        <v>1681</v>
      </c>
      <c r="J41" s="13" t="s">
        <v>2774</v>
      </c>
      <c r="K41" s="13" t="s">
        <v>3714</v>
      </c>
      <c r="L41" s="14" t="s">
        <v>3716</v>
      </c>
      <c r="M41" s="14" t="s">
        <v>41</v>
      </c>
      <c r="N41" s="14"/>
      <c r="O41" s="14" t="s">
        <v>3716</v>
      </c>
      <c r="P41" s="14" t="s">
        <v>41</v>
      </c>
      <c r="Q41" s="14"/>
      <c r="R41" s="14" t="s">
        <v>3485</v>
      </c>
    </row>
    <row r="42" customFormat="false" ht="57.45" hidden="false" customHeight="false" outlineLevel="0" collapsed="false">
      <c r="A42" s="12" t="s">
        <v>3717</v>
      </c>
      <c r="B42" s="12" t="s">
        <v>48</v>
      </c>
      <c r="C42" s="12" t="s">
        <v>142</v>
      </c>
      <c r="D42" s="13" t="s">
        <v>3718</v>
      </c>
      <c r="E42" s="13" t="s">
        <v>3719</v>
      </c>
      <c r="F42" s="13" t="s">
        <v>3720</v>
      </c>
      <c r="G42" s="13" t="s">
        <v>144</v>
      </c>
      <c r="H42" s="13" t="s">
        <v>95</v>
      </c>
      <c r="I42" s="13" t="s">
        <v>1647</v>
      </c>
      <c r="J42" s="13" t="s">
        <v>3436</v>
      </c>
      <c r="K42" s="13" t="s">
        <v>3721</v>
      </c>
      <c r="L42" s="14" t="s">
        <v>3722</v>
      </c>
      <c r="M42" s="14" t="s">
        <v>41</v>
      </c>
      <c r="N42" s="14"/>
      <c r="O42" s="14" t="s">
        <v>3722</v>
      </c>
      <c r="P42" s="14" t="s">
        <v>41</v>
      </c>
      <c r="Q42" s="14"/>
      <c r="R42" s="14" t="s">
        <v>3485</v>
      </c>
    </row>
    <row r="43" customFormat="false" ht="35.05" hidden="false" customHeight="false" outlineLevel="0" collapsed="false">
      <c r="A43" s="12" t="s">
        <v>3723</v>
      </c>
      <c r="B43" s="12" t="s">
        <v>48</v>
      </c>
      <c r="C43" s="12" t="s">
        <v>142</v>
      </c>
      <c r="D43" s="13" t="s">
        <v>3724</v>
      </c>
      <c r="E43" s="13" t="s">
        <v>3725</v>
      </c>
      <c r="F43" s="13" t="s">
        <v>3726</v>
      </c>
      <c r="G43" s="13" t="s">
        <v>144</v>
      </c>
      <c r="H43" s="13" t="s">
        <v>1627</v>
      </c>
      <c r="I43" s="13" t="s">
        <v>1628</v>
      </c>
      <c r="J43" s="13" t="s">
        <v>1629</v>
      </c>
      <c r="K43" s="13" t="s">
        <v>3727</v>
      </c>
      <c r="L43" s="14" t="s">
        <v>3728</v>
      </c>
      <c r="M43" s="14" t="s">
        <v>44</v>
      </c>
      <c r="N43" s="14" t="s">
        <v>3127</v>
      </c>
      <c r="O43" s="14" t="s">
        <v>3729</v>
      </c>
      <c r="P43" s="14" t="s">
        <v>41</v>
      </c>
      <c r="Q43" s="14"/>
      <c r="R43" s="14" t="s">
        <v>3485</v>
      </c>
    </row>
    <row r="44" customFormat="false" ht="23.85" hidden="false" customHeight="false" outlineLevel="0" collapsed="false">
      <c r="A44" s="12" t="s">
        <v>3730</v>
      </c>
      <c r="B44" s="12" t="s">
        <v>48</v>
      </c>
      <c r="C44" s="12" t="s">
        <v>142</v>
      </c>
      <c r="D44" s="13" t="s">
        <v>3731</v>
      </c>
      <c r="E44" s="13" t="s">
        <v>3732</v>
      </c>
      <c r="F44" s="13" t="s">
        <v>3733</v>
      </c>
      <c r="G44" s="13" t="s">
        <v>144</v>
      </c>
      <c r="H44" s="13" t="s">
        <v>3294</v>
      </c>
      <c r="I44" s="13" t="s">
        <v>3295</v>
      </c>
      <c r="J44" s="13" t="s">
        <v>3734</v>
      </c>
      <c r="K44" s="13" t="s">
        <v>3735</v>
      </c>
      <c r="L44" s="14" t="s">
        <v>3298</v>
      </c>
      <c r="M44" s="14" t="s">
        <v>41</v>
      </c>
      <c r="N44" s="14"/>
      <c r="O44" s="14" t="s">
        <v>3298</v>
      </c>
      <c r="P44" s="14" t="s">
        <v>41</v>
      </c>
      <c r="Q44" s="14"/>
      <c r="R44" s="14" t="s">
        <v>3485</v>
      </c>
    </row>
    <row r="45" customFormat="false" ht="46.25" hidden="false" customHeight="false" outlineLevel="0" collapsed="false">
      <c r="A45" s="12" t="s">
        <v>3736</v>
      </c>
      <c r="B45" s="12" t="s">
        <v>48</v>
      </c>
      <c r="C45" s="12" t="s">
        <v>142</v>
      </c>
      <c r="D45" s="13" t="s">
        <v>3737</v>
      </c>
      <c r="E45" s="13" t="s">
        <v>3738</v>
      </c>
      <c r="F45" s="13" t="s">
        <v>3739</v>
      </c>
      <c r="G45" s="13" t="s">
        <v>144</v>
      </c>
      <c r="H45" s="13" t="s">
        <v>93</v>
      </c>
      <c r="I45" s="13" t="s">
        <v>1264</v>
      </c>
      <c r="J45" s="13" t="s">
        <v>3740</v>
      </c>
      <c r="K45" s="13" t="s">
        <v>3741</v>
      </c>
      <c r="L45" s="14" t="s">
        <v>1277</v>
      </c>
      <c r="M45" s="14" t="s">
        <v>42</v>
      </c>
      <c r="N45" s="14" t="s">
        <v>209</v>
      </c>
      <c r="O45" s="14" t="s">
        <v>3742</v>
      </c>
      <c r="P45" s="14" t="s">
        <v>41</v>
      </c>
      <c r="Q45" s="14"/>
      <c r="R45" s="14" t="s">
        <v>3485</v>
      </c>
    </row>
    <row r="46" customFormat="false" ht="23.85" hidden="false" customHeight="false" outlineLevel="0" collapsed="false">
      <c r="A46" s="12" t="s">
        <v>3743</v>
      </c>
      <c r="B46" s="12" t="s">
        <v>48</v>
      </c>
      <c r="C46" s="12" t="s">
        <v>142</v>
      </c>
      <c r="D46" s="13" t="s">
        <v>3744</v>
      </c>
      <c r="E46" s="13" t="s">
        <v>3745</v>
      </c>
      <c r="F46" s="13" t="s">
        <v>3746</v>
      </c>
      <c r="G46" s="13" t="s">
        <v>144</v>
      </c>
      <c r="H46" s="13"/>
      <c r="I46" s="13" t="s">
        <v>1636</v>
      </c>
      <c r="J46" s="13" t="s">
        <v>3747</v>
      </c>
      <c r="K46" s="13" t="s">
        <v>3748</v>
      </c>
      <c r="L46" s="14" t="s">
        <v>3749</v>
      </c>
      <c r="M46" s="14" t="s">
        <v>41</v>
      </c>
      <c r="N46" s="14"/>
      <c r="O46" s="14" t="s">
        <v>3750</v>
      </c>
      <c r="P46" s="14" t="s">
        <v>41</v>
      </c>
      <c r="Q46" s="14"/>
      <c r="R46" s="14" t="s">
        <v>3485</v>
      </c>
    </row>
    <row r="47" customFormat="false" ht="23.85" hidden="false" customHeight="false" outlineLevel="0" collapsed="false">
      <c r="A47" s="12" t="s">
        <v>3743</v>
      </c>
      <c r="B47" s="12" t="s">
        <v>48</v>
      </c>
      <c r="C47" s="12" t="s">
        <v>164</v>
      </c>
      <c r="D47" s="13" t="s">
        <v>3744</v>
      </c>
      <c r="E47" s="13" t="s">
        <v>3745</v>
      </c>
      <c r="F47" s="13" t="s">
        <v>3746</v>
      </c>
      <c r="G47" s="13" t="s">
        <v>144</v>
      </c>
      <c r="H47" s="13"/>
      <c r="I47" s="13" t="s">
        <v>1681</v>
      </c>
      <c r="J47" s="13" t="s">
        <v>3464</v>
      </c>
      <c r="K47" s="13" t="s">
        <v>3748</v>
      </c>
      <c r="L47" s="14" t="s">
        <v>3751</v>
      </c>
      <c r="M47" s="14" t="s">
        <v>41</v>
      </c>
      <c r="N47" s="14"/>
      <c r="O47" s="14" t="s">
        <v>3751</v>
      </c>
      <c r="P47" s="14" t="s">
        <v>41</v>
      </c>
      <c r="Q47" s="14"/>
      <c r="R47" s="14" t="s">
        <v>3485</v>
      </c>
    </row>
    <row r="48" customFormat="false" ht="35.05" hidden="false" customHeight="false" outlineLevel="0" collapsed="false">
      <c r="A48" s="12" t="s">
        <v>3752</v>
      </c>
      <c r="B48" s="12" t="s">
        <v>49</v>
      </c>
      <c r="C48" s="12" t="s">
        <v>142</v>
      </c>
      <c r="D48" s="13" t="s">
        <v>3753</v>
      </c>
      <c r="E48" s="13" t="s">
        <v>3754</v>
      </c>
      <c r="F48" s="13" t="s">
        <v>3755</v>
      </c>
      <c r="G48" s="13" t="s">
        <v>144</v>
      </c>
      <c r="H48" s="13"/>
      <c r="I48" s="13" t="s">
        <v>1701</v>
      </c>
      <c r="J48" s="13" t="s">
        <v>2062</v>
      </c>
      <c r="K48" s="13" t="s">
        <v>3756</v>
      </c>
      <c r="L48" s="14" t="s">
        <v>3757</v>
      </c>
      <c r="M48" s="14" t="s">
        <v>41</v>
      </c>
      <c r="N48" s="14"/>
      <c r="O48" s="14" t="s">
        <v>3757</v>
      </c>
      <c r="P48" s="14" t="s">
        <v>41</v>
      </c>
      <c r="Q48" s="14"/>
      <c r="R48" s="14" t="s">
        <v>3485</v>
      </c>
    </row>
    <row r="49" customFormat="false" ht="35.05" hidden="false" customHeight="false" outlineLevel="0" collapsed="false">
      <c r="A49" s="12" t="s">
        <v>3752</v>
      </c>
      <c r="B49" s="12" t="s">
        <v>49</v>
      </c>
      <c r="C49" s="12" t="s">
        <v>164</v>
      </c>
      <c r="D49" s="13" t="s">
        <v>3753</v>
      </c>
      <c r="E49" s="13" t="s">
        <v>3754</v>
      </c>
      <c r="F49" s="13" t="s">
        <v>3755</v>
      </c>
      <c r="G49" s="13" t="s">
        <v>144</v>
      </c>
      <c r="H49" s="13"/>
      <c r="I49" s="13" t="s">
        <v>3504</v>
      </c>
      <c r="J49" s="13" t="s">
        <v>3758</v>
      </c>
      <c r="K49" s="13" t="s">
        <v>3756</v>
      </c>
      <c r="L49" s="14"/>
      <c r="M49" s="14" t="s">
        <v>44</v>
      </c>
      <c r="N49" s="14" t="s">
        <v>1571</v>
      </c>
      <c r="O49" s="14" t="s">
        <v>3640</v>
      </c>
      <c r="P49" s="14" t="s">
        <v>41</v>
      </c>
      <c r="Q49" s="14"/>
      <c r="R49" s="14" t="s">
        <v>3485</v>
      </c>
    </row>
    <row r="50" customFormat="false" ht="35.05" hidden="false" customHeight="false" outlineLevel="0" collapsed="false">
      <c r="A50" s="12" t="s">
        <v>3752</v>
      </c>
      <c r="B50" s="12" t="s">
        <v>49</v>
      </c>
      <c r="C50" s="12" t="s">
        <v>1396</v>
      </c>
      <c r="D50" s="13" t="s">
        <v>3753</v>
      </c>
      <c r="E50" s="13" t="s">
        <v>3754</v>
      </c>
      <c r="F50" s="13" t="s">
        <v>3755</v>
      </c>
      <c r="G50" s="13" t="s">
        <v>144</v>
      </c>
      <c r="H50" s="13"/>
      <c r="I50" s="13" t="s">
        <v>387</v>
      </c>
      <c r="J50" s="13"/>
      <c r="K50" s="13" t="s">
        <v>3756</v>
      </c>
      <c r="L50" s="14"/>
      <c r="M50" s="14" t="s">
        <v>43</v>
      </c>
      <c r="N50" s="14"/>
      <c r="O50" s="14"/>
      <c r="P50" s="14"/>
      <c r="Q50" s="14"/>
      <c r="R50" s="14"/>
    </row>
    <row r="51" customFormat="false" ht="35.05" hidden="false" customHeight="false" outlineLevel="0" collapsed="false">
      <c r="A51" s="12" t="s">
        <v>3759</v>
      </c>
      <c r="B51" s="12" t="s">
        <v>49</v>
      </c>
      <c r="C51" s="12" t="s">
        <v>142</v>
      </c>
      <c r="D51" s="13" t="s">
        <v>3760</v>
      </c>
      <c r="E51" s="13" t="s">
        <v>3761</v>
      </c>
      <c r="F51" s="13" t="s">
        <v>3762</v>
      </c>
      <c r="G51" s="13" t="s">
        <v>144</v>
      </c>
      <c r="H51" s="13"/>
      <c r="I51" s="13" t="s">
        <v>1701</v>
      </c>
      <c r="J51" s="13" t="s">
        <v>3497</v>
      </c>
      <c r="K51" s="13" t="s">
        <v>3763</v>
      </c>
      <c r="L51" s="14" t="s">
        <v>3764</v>
      </c>
      <c r="M51" s="14" t="s">
        <v>41</v>
      </c>
      <c r="N51" s="14"/>
      <c r="O51" s="14" t="s">
        <v>3764</v>
      </c>
      <c r="P51" s="14" t="s">
        <v>41</v>
      </c>
      <c r="Q51" s="14"/>
      <c r="R51" s="14" t="s">
        <v>3485</v>
      </c>
    </row>
    <row r="52" customFormat="false" ht="35.05" hidden="false" customHeight="false" outlineLevel="0" collapsed="false">
      <c r="A52" s="12" t="s">
        <v>3759</v>
      </c>
      <c r="B52" s="12" t="s">
        <v>49</v>
      </c>
      <c r="C52" s="12" t="s">
        <v>164</v>
      </c>
      <c r="D52" s="13" t="s">
        <v>3760</v>
      </c>
      <c r="E52" s="13" t="s">
        <v>3761</v>
      </c>
      <c r="F52" s="13" t="s">
        <v>3762</v>
      </c>
      <c r="G52" s="13" t="s">
        <v>144</v>
      </c>
      <c r="H52" s="13" t="s">
        <v>93</v>
      </c>
      <c r="I52" s="13" t="s">
        <v>1264</v>
      </c>
      <c r="J52" s="13" t="s">
        <v>1301</v>
      </c>
      <c r="K52" s="13" t="s">
        <v>3763</v>
      </c>
      <c r="L52" s="14" t="s">
        <v>3765</v>
      </c>
      <c r="M52" s="14" t="s">
        <v>41</v>
      </c>
      <c r="N52" s="14"/>
      <c r="O52" s="14" t="s">
        <v>3765</v>
      </c>
      <c r="P52" s="14" t="s">
        <v>41</v>
      </c>
      <c r="Q52" s="14"/>
      <c r="R52" s="14" t="s">
        <v>3485</v>
      </c>
    </row>
    <row r="53" customFormat="false" ht="23.85" hidden="false" customHeight="false" outlineLevel="0" collapsed="false">
      <c r="A53" s="12" t="s">
        <v>3766</v>
      </c>
      <c r="B53" s="12" t="s">
        <v>49</v>
      </c>
      <c r="C53" s="12" t="s">
        <v>142</v>
      </c>
      <c r="D53" s="13" t="s">
        <v>3767</v>
      </c>
      <c r="E53" s="13" t="s">
        <v>3768</v>
      </c>
      <c r="F53" s="13" t="s">
        <v>3769</v>
      </c>
      <c r="G53" s="13" t="s">
        <v>144</v>
      </c>
      <c r="H53" s="13"/>
      <c r="I53" s="13" t="s">
        <v>1689</v>
      </c>
      <c r="J53" s="13" t="s">
        <v>3770</v>
      </c>
      <c r="K53" s="13" t="s">
        <v>3771</v>
      </c>
      <c r="L53" s="14" t="s">
        <v>1693</v>
      </c>
      <c r="M53" s="14" t="s">
        <v>41</v>
      </c>
      <c r="N53" s="14"/>
      <c r="O53" s="14" t="s">
        <v>1693</v>
      </c>
      <c r="P53" s="14" t="s">
        <v>41</v>
      </c>
      <c r="Q53" s="14"/>
      <c r="R53" s="14" t="s">
        <v>3485</v>
      </c>
    </row>
    <row r="54" customFormat="false" ht="23.85" hidden="false" customHeight="false" outlineLevel="0" collapsed="false">
      <c r="A54" s="12" t="s">
        <v>3766</v>
      </c>
      <c r="B54" s="12" t="s">
        <v>49</v>
      </c>
      <c r="C54" s="12" t="s">
        <v>164</v>
      </c>
      <c r="D54" s="13" t="s">
        <v>3767</v>
      </c>
      <c r="E54" s="13" t="s">
        <v>3768</v>
      </c>
      <c r="F54" s="13" t="s">
        <v>3769</v>
      </c>
      <c r="G54" s="13" t="s">
        <v>144</v>
      </c>
      <c r="H54" s="13"/>
      <c r="I54" s="13" t="s">
        <v>3504</v>
      </c>
      <c r="J54" s="13" t="s">
        <v>3772</v>
      </c>
      <c r="K54" s="13" t="s">
        <v>3771</v>
      </c>
      <c r="L54" s="14"/>
      <c r="M54" s="14" t="s">
        <v>44</v>
      </c>
      <c r="N54" s="14"/>
      <c r="O54" s="14" t="s">
        <v>3521</v>
      </c>
      <c r="P54" s="14" t="s">
        <v>41</v>
      </c>
      <c r="Q54" s="14"/>
      <c r="R54" s="14" t="s">
        <v>3485</v>
      </c>
    </row>
    <row r="55" customFormat="false" ht="35.05" hidden="false" customHeight="false" outlineLevel="0" collapsed="false">
      <c r="A55" s="12" t="s">
        <v>3773</v>
      </c>
      <c r="B55" s="12" t="s">
        <v>49</v>
      </c>
      <c r="C55" s="12" t="s">
        <v>142</v>
      </c>
      <c r="D55" s="13" t="s">
        <v>3774</v>
      </c>
      <c r="E55" s="13" t="s">
        <v>3775</v>
      </c>
      <c r="F55" s="13" t="s">
        <v>3776</v>
      </c>
      <c r="G55" s="13" t="s">
        <v>144</v>
      </c>
      <c r="H55" s="13"/>
      <c r="I55" s="13" t="s">
        <v>1689</v>
      </c>
      <c r="J55" s="13" t="s">
        <v>3777</v>
      </c>
      <c r="K55" s="13" t="s">
        <v>3778</v>
      </c>
      <c r="L55" s="14" t="s">
        <v>1693</v>
      </c>
      <c r="M55" s="14" t="s">
        <v>41</v>
      </c>
      <c r="N55" s="14"/>
      <c r="O55" s="14" t="s">
        <v>1693</v>
      </c>
      <c r="P55" s="14" t="s">
        <v>41</v>
      </c>
      <c r="Q55" s="14"/>
      <c r="R55" s="14" t="s">
        <v>3485</v>
      </c>
    </row>
    <row r="56" customFormat="false" ht="35.05" hidden="false" customHeight="false" outlineLevel="0" collapsed="false">
      <c r="A56" s="12" t="s">
        <v>3773</v>
      </c>
      <c r="B56" s="12" t="s">
        <v>49</v>
      </c>
      <c r="C56" s="12" t="s">
        <v>164</v>
      </c>
      <c r="D56" s="13" t="s">
        <v>3774</v>
      </c>
      <c r="E56" s="13" t="s">
        <v>3775</v>
      </c>
      <c r="F56" s="13" t="s">
        <v>3776</v>
      </c>
      <c r="G56" s="13" t="s">
        <v>144</v>
      </c>
      <c r="H56" s="13"/>
      <c r="I56" s="13" t="s">
        <v>1701</v>
      </c>
      <c r="J56" s="13" t="s">
        <v>3779</v>
      </c>
      <c r="K56" s="13" t="s">
        <v>3778</v>
      </c>
      <c r="L56" s="14" t="s">
        <v>3780</v>
      </c>
      <c r="M56" s="14" t="s">
        <v>41</v>
      </c>
      <c r="N56" s="14"/>
      <c r="O56" s="14" t="s">
        <v>3780</v>
      </c>
      <c r="P56" s="14" t="s">
        <v>41</v>
      </c>
      <c r="Q56" s="14"/>
      <c r="R56" s="14" t="s">
        <v>3485</v>
      </c>
    </row>
    <row r="57" customFormat="false" ht="46.25" hidden="false" customHeight="false" outlineLevel="0" collapsed="false">
      <c r="A57" s="12" t="s">
        <v>3781</v>
      </c>
      <c r="B57" s="12" t="s">
        <v>49</v>
      </c>
      <c r="C57" s="12" t="s">
        <v>142</v>
      </c>
      <c r="D57" s="13" t="s">
        <v>3782</v>
      </c>
      <c r="E57" s="13" t="s">
        <v>3783</v>
      </c>
      <c r="F57" s="13" t="s">
        <v>3784</v>
      </c>
      <c r="G57" s="13" t="s">
        <v>144</v>
      </c>
      <c r="H57" s="13" t="s">
        <v>95</v>
      </c>
      <c r="I57" s="13" t="s">
        <v>1647</v>
      </c>
      <c r="J57" s="13" t="s">
        <v>3785</v>
      </c>
      <c r="K57" s="13" t="s">
        <v>3786</v>
      </c>
      <c r="L57" s="14" t="s">
        <v>3787</v>
      </c>
      <c r="M57" s="14" t="s">
        <v>41</v>
      </c>
      <c r="N57" s="14"/>
      <c r="O57" s="14" t="s">
        <v>2064</v>
      </c>
      <c r="P57" s="14" t="s">
        <v>44</v>
      </c>
      <c r="Q57" s="14" t="s">
        <v>3788</v>
      </c>
      <c r="R57" s="14" t="s">
        <v>3485</v>
      </c>
    </row>
    <row r="58" customFormat="false" ht="35.05" hidden="false" customHeight="false" outlineLevel="0" collapsed="false">
      <c r="A58" s="12" t="s">
        <v>3781</v>
      </c>
      <c r="B58" s="12" t="s">
        <v>49</v>
      </c>
      <c r="C58" s="12" t="s">
        <v>164</v>
      </c>
      <c r="D58" s="13" t="s">
        <v>3782</v>
      </c>
      <c r="E58" s="13" t="s">
        <v>3783</v>
      </c>
      <c r="F58" s="13" t="s">
        <v>3784</v>
      </c>
      <c r="G58" s="13" t="s">
        <v>144</v>
      </c>
      <c r="H58" s="13"/>
      <c r="I58" s="13" t="s">
        <v>1701</v>
      </c>
      <c r="J58" s="13" t="s">
        <v>3789</v>
      </c>
      <c r="K58" s="13" t="s">
        <v>3786</v>
      </c>
      <c r="L58" s="14" t="s">
        <v>3790</v>
      </c>
      <c r="M58" s="14" t="s">
        <v>41</v>
      </c>
      <c r="N58" s="14"/>
      <c r="O58" s="14" t="s">
        <v>2064</v>
      </c>
      <c r="P58" s="14" t="s">
        <v>44</v>
      </c>
      <c r="Q58" s="14" t="s">
        <v>3791</v>
      </c>
      <c r="R58" s="14" t="s">
        <v>3485</v>
      </c>
    </row>
    <row r="59" customFormat="false" ht="23.85" hidden="false" customHeight="false" outlineLevel="0" collapsed="false">
      <c r="A59" s="12" t="s">
        <v>3792</v>
      </c>
      <c r="B59" s="12" t="s">
        <v>49</v>
      </c>
      <c r="C59" s="12" t="s">
        <v>142</v>
      </c>
      <c r="D59" s="13" t="s">
        <v>3793</v>
      </c>
      <c r="E59" s="13" t="s">
        <v>3794</v>
      </c>
      <c r="F59" s="13" t="s">
        <v>3795</v>
      </c>
      <c r="G59" s="13" t="s">
        <v>144</v>
      </c>
      <c r="H59" s="13"/>
      <c r="I59" s="13" t="s">
        <v>3504</v>
      </c>
      <c r="J59" s="13" t="s">
        <v>3796</v>
      </c>
      <c r="K59" s="13" t="s">
        <v>3797</v>
      </c>
      <c r="L59" s="14"/>
      <c r="M59" s="14" t="s">
        <v>44</v>
      </c>
      <c r="N59" s="14" t="s">
        <v>528</v>
      </c>
      <c r="O59" s="14" t="s">
        <v>3798</v>
      </c>
      <c r="P59" s="14" t="s">
        <v>41</v>
      </c>
      <c r="Q59" s="14"/>
      <c r="R59" s="14" t="s">
        <v>3485</v>
      </c>
    </row>
    <row r="60" customFormat="false" ht="23.85" hidden="false" customHeight="false" outlineLevel="0" collapsed="false">
      <c r="A60" s="12" t="s">
        <v>3792</v>
      </c>
      <c r="B60" s="12" t="s">
        <v>49</v>
      </c>
      <c r="C60" s="12" t="s">
        <v>164</v>
      </c>
      <c r="D60" s="13" t="s">
        <v>3793</v>
      </c>
      <c r="E60" s="13" t="s">
        <v>3794</v>
      </c>
      <c r="F60" s="13" t="s">
        <v>3795</v>
      </c>
      <c r="G60" s="13" t="s">
        <v>144</v>
      </c>
      <c r="H60" s="13"/>
      <c r="I60" s="13" t="s">
        <v>1636</v>
      </c>
      <c r="J60" s="13" t="s">
        <v>3698</v>
      </c>
      <c r="K60" s="13" t="s">
        <v>3797</v>
      </c>
      <c r="L60" s="14" t="s">
        <v>3700</v>
      </c>
      <c r="M60" s="14" t="s">
        <v>41</v>
      </c>
      <c r="N60" s="14"/>
      <c r="O60" s="14" t="s">
        <v>3700</v>
      </c>
      <c r="P60" s="14" t="s">
        <v>41</v>
      </c>
      <c r="Q60" s="14"/>
      <c r="R60" s="14" t="s">
        <v>3485</v>
      </c>
    </row>
    <row r="61" customFormat="false" ht="23.85" hidden="false" customHeight="false" outlineLevel="0" collapsed="false">
      <c r="A61" s="12" t="s">
        <v>3792</v>
      </c>
      <c r="B61" s="12" t="s">
        <v>49</v>
      </c>
      <c r="C61" s="12" t="s">
        <v>386</v>
      </c>
      <c r="D61" s="13" t="s">
        <v>3793</v>
      </c>
      <c r="E61" s="13" t="s">
        <v>3794</v>
      </c>
      <c r="F61" s="13" t="s">
        <v>3795</v>
      </c>
      <c r="G61" s="13" t="s">
        <v>144</v>
      </c>
      <c r="H61" s="13"/>
      <c r="I61" s="13" t="s">
        <v>1681</v>
      </c>
      <c r="J61" s="13" t="s">
        <v>3701</v>
      </c>
      <c r="K61" s="13" t="s">
        <v>3797</v>
      </c>
      <c r="L61" s="14" t="s">
        <v>3799</v>
      </c>
      <c r="M61" s="14" t="s">
        <v>41</v>
      </c>
      <c r="N61" s="14"/>
      <c r="O61" s="14" t="s">
        <v>3799</v>
      </c>
      <c r="P61" s="14" t="s">
        <v>41</v>
      </c>
      <c r="Q61" s="14"/>
      <c r="R61" s="14" t="s">
        <v>3485</v>
      </c>
    </row>
    <row r="62" customFormat="false" ht="35.05" hidden="false" customHeight="false" outlineLevel="0" collapsed="false">
      <c r="A62" s="12" t="s">
        <v>3800</v>
      </c>
      <c r="B62" s="12" t="s">
        <v>49</v>
      </c>
      <c r="C62" s="12" t="s">
        <v>142</v>
      </c>
      <c r="D62" s="13" t="s">
        <v>3801</v>
      </c>
      <c r="E62" s="13" t="s">
        <v>3802</v>
      </c>
      <c r="F62" s="13" t="s">
        <v>3803</v>
      </c>
      <c r="G62" s="13" t="s">
        <v>144</v>
      </c>
      <c r="H62" s="13"/>
      <c r="I62" s="13" t="s">
        <v>1701</v>
      </c>
      <c r="J62" s="13" t="s">
        <v>3804</v>
      </c>
      <c r="K62" s="13" t="s">
        <v>3805</v>
      </c>
      <c r="L62" s="14" t="s">
        <v>3806</v>
      </c>
      <c r="M62" s="14" t="s">
        <v>41</v>
      </c>
      <c r="N62" s="14"/>
      <c r="O62" s="14" t="s">
        <v>3806</v>
      </c>
      <c r="P62" s="14" t="s">
        <v>41</v>
      </c>
      <c r="Q62" s="14"/>
      <c r="R62" s="14" t="s">
        <v>3485</v>
      </c>
    </row>
    <row r="63" customFormat="false" ht="35.05" hidden="false" customHeight="false" outlineLevel="0" collapsed="false">
      <c r="A63" s="12" t="s">
        <v>3800</v>
      </c>
      <c r="B63" s="12" t="s">
        <v>49</v>
      </c>
      <c r="C63" s="12" t="s">
        <v>164</v>
      </c>
      <c r="D63" s="13" t="s">
        <v>3801</v>
      </c>
      <c r="E63" s="13" t="s">
        <v>3802</v>
      </c>
      <c r="F63" s="13" t="s">
        <v>3803</v>
      </c>
      <c r="G63" s="13" t="s">
        <v>144</v>
      </c>
      <c r="H63" s="13"/>
      <c r="I63" s="13" t="s">
        <v>3504</v>
      </c>
      <c r="J63" s="13" t="s">
        <v>3807</v>
      </c>
      <c r="K63" s="13" t="s">
        <v>3805</v>
      </c>
      <c r="L63" s="14"/>
      <c r="M63" s="14" t="s">
        <v>44</v>
      </c>
      <c r="N63" s="14" t="s">
        <v>1571</v>
      </c>
      <c r="O63" s="14" t="s">
        <v>3808</v>
      </c>
      <c r="P63" s="14" t="s">
        <v>41</v>
      </c>
      <c r="Q63" s="14"/>
      <c r="R63" s="14" t="s">
        <v>3485</v>
      </c>
    </row>
    <row r="64" customFormat="false" ht="35.05" hidden="false" customHeight="false" outlineLevel="0" collapsed="false">
      <c r="A64" s="12" t="s">
        <v>3800</v>
      </c>
      <c r="B64" s="12" t="s">
        <v>49</v>
      </c>
      <c r="C64" s="12" t="s">
        <v>1396</v>
      </c>
      <c r="D64" s="13" t="s">
        <v>3801</v>
      </c>
      <c r="E64" s="13" t="s">
        <v>3802</v>
      </c>
      <c r="F64" s="13" t="s">
        <v>3803</v>
      </c>
      <c r="G64" s="13" t="s">
        <v>144</v>
      </c>
      <c r="H64" s="13"/>
      <c r="I64" s="13" t="s">
        <v>387</v>
      </c>
      <c r="J64" s="13"/>
      <c r="K64" s="13" t="s">
        <v>3805</v>
      </c>
      <c r="L64" s="14"/>
      <c r="M64" s="14" t="s">
        <v>43</v>
      </c>
      <c r="N64" s="14"/>
      <c r="O64" s="14"/>
      <c r="P64" s="14"/>
      <c r="Q64" s="14"/>
      <c r="R64" s="14"/>
    </row>
    <row r="65" customFormat="false" ht="35.05" hidden="false" customHeight="false" outlineLevel="0" collapsed="false">
      <c r="A65" s="12" t="s">
        <v>3809</v>
      </c>
      <c r="B65" s="12" t="s">
        <v>49</v>
      </c>
      <c r="C65" s="12" t="s">
        <v>142</v>
      </c>
      <c r="D65" s="13" t="s">
        <v>3810</v>
      </c>
      <c r="E65" s="13" t="s">
        <v>3811</v>
      </c>
      <c r="F65" s="13" t="s">
        <v>3812</v>
      </c>
      <c r="G65" s="13" t="s">
        <v>144</v>
      </c>
      <c r="H65" s="13" t="s">
        <v>97</v>
      </c>
      <c r="I65" s="13" t="s">
        <v>1613</v>
      </c>
      <c r="J65" s="13" t="s">
        <v>2052</v>
      </c>
      <c r="K65" s="13" t="s">
        <v>3813</v>
      </c>
      <c r="L65" s="14" t="s">
        <v>3814</v>
      </c>
      <c r="M65" s="14" t="s">
        <v>41</v>
      </c>
      <c r="N65" s="14"/>
      <c r="O65" s="14" t="s">
        <v>3814</v>
      </c>
      <c r="P65" s="14" t="s">
        <v>41</v>
      </c>
      <c r="Q65" s="14"/>
      <c r="R65" s="14" t="s">
        <v>3485</v>
      </c>
    </row>
    <row r="66" customFormat="false" ht="35.05" hidden="false" customHeight="false" outlineLevel="0" collapsed="false">
      <c r="A66" s="12" t="s">
        <v>3809</v>
      </c>
      <c r="B66" s="12" t="s">
        <v>49</v>
      </c>
      <c r="C66" s="12" t="s">
        <v>164</v>
      </c>
      <c r="D66" s="13" t="s">
        <v>3810</v>
      </c>
      <c r="E66" s="13" t="s">
        <v>3811</v>
      </c>
      <c r="F66" s="13" t="s">
        <v>3812</v>
      </c>
      <c r="G66" s="13" t="s">
        <v>144</v>
      </c>
      <c r="H66" s="13"/>
      <c r="I66" s="13" t="s">
        <v>3504</v>
      </c>
      <c r="J66" s="13" t="s">
        <v>3815</v>
      </c>
      <c r="K66" s="13" t="s">
        <v>3813</v>
      </c>
      <c r="L66" s="14" t="s">
        <v>3816</v>
      </c>
      <c r="M66" s="14" t="s">
        <v>44</v>
      </c>
      <c r="N66" s="14" t="s">
        <v>3817</v>
      </c>
      <c r="O66" s="14" t="s">
        <v>3640</v>
      </c>
      <c r="P66" s="14" t="s">
        <v>41</v>
      </c>
      <c r="Q66" s="14"/>
      <c r="R66" s="14" t="s">
        <v>3485</v>
      </c>
    </row>
    <row r="67" customFormat="false" ht="35.05" hidden="false" customHeight="false" outlineLevel="0" collapsed="false">
      <c r="A67" s="12" t="s">
        <v>3809</v>
      </c>
      <c r="B67" s="12" t="s">
        <v>49</v>
      </c>
      <c r="C67" s="12" t="s">
        <v>1396</v>
      </c>
      <c r="D67" s="13" t="s">
        <v>3810</v>
      </c>
      <c r="E67" s="13" t="s">
        <v>3811</v>
      </c>
      <c r="F67" s="13" t="s">
        <v>3812</v>
      </c>
      <c r="G67" s="13" t="s">
        <v>144</v>
      </c>
      <c r="H67" s="13"/>
      <c r="I67" s="13" t="s">
        <v>387</v>
      </c>
      <c r="J67" s="13"/>
      <c r="K67" s="13" t="s">
        <v>3813</v>
      </c>
      <c r="L67" s="14" t="s">
        <v>3816</v>
      </c>
      <c r="M67" s="14" t="s">
        <v>43</v>
      </c>
      <c r="N67" s="14"/>
      <c r="O67" s="14"/>
      <c r="P67" s="14"/>
      <c r="Q67" s="14"/>
      <c r="R67" s="14"/>
    </row>
    <row r="68" customFormat="false" ht="35.05" hidden="false" customHeight="false" outlineLevel="0" collapsed="false">
      <c r="A68" s="12" t="s">
        <v>3818</v>
      </c>
      <c r="B68" s="12" t="s">
        <v>49</v>
      </c>
      <c r="C68" s="12" t="s">
        <v>142</v>
      </c>
      <c r="D68" s="13" t="s">
        <v>3819</v>
      </c>
      <c r="E68" s="13" t="s">
        <v>3820</v>
      </c>
      <c r="F68" s="13" t="s">
        <v>3821</v>
      </c>
      <c r="G68" s="13" t="s">
        <v>144</v>
      </c>
      <c r="H68" s="13" t="s">
        <v>93</v>
      </c>
      <c r="I68" s="13" t="s">
        <v>1274</v>
      </c>
      <c r="J68" s="13" t="s">
        <v>1657</v>
      </c>
      <c r="K68" s="13" t="s">
        <v>3822</v>
      </c>
      <c r="L68" s="14" t="s">
        <v>3823</v>
      </c>
      <c r="M68" s="14" t="s">
        <v>41</v>
      </c>
      <c r="N68" s="14"/>
      <c r="O68" s="14" t="s">
        <v>3823</v>
      </c>
      <c r="P68" s="14" t="s">
        <v>41</v>
      </c>
      <c r="Q68" s="14"/>
      <c r="R68" s="14" t="s">
        <v>3485</v>
      </c>
    </row>
    <row r="69" customFormat="false" ht="35.05" hidden="false" customHeight="false" outlineLevel="0" collapsed="false">
      <c r="A69" s="12" t="s">
        <v>3818</v>
      </c>
      <c r="B69" s="12" t="s">
        <v>49</v>
      </c>
      <c r="C69" s="12" t="s">
        <v>164</v>
      </c>
      <c r="D69" s="13" t="s">
        <v>3819</v>
      </c>
      <c r="E69" s="13" t="s">
        <v>3820</v>
      </c>
      <c r="F69" s="13" t="s">
        <v>3821</v>
      </c>
      <c r="G69" s="13" t="s">
        <v>144</v>
      </c>
      <c r="H69" s="13"/>
      <c r="I69" s="13" t="s">
        <v>1701</v>
      </c>
      <c r="J69" s="13" t="s">
        <v>3824</v>
      </c>
      <c r="K69" s="13" t="s">
        <v>3822</v>
      </c>
      <c r="L69" s="14" t="s">
        <v>1768</v>
      </c>
      <c r="M69" s="14" t="s">
        <v>44</v>
      </c>
      <c r="N69" s="14"/>
      <c r="O69" s="14" t="s">
        <v>3825</v>
      </c>
      <c r="P69" s="14" t="s">
        <v>41</v>
      </c>
      <c r="Q69" s="14"/>
      <c r="R69" s="14" t="s">
        <v>3485</v>
      </c>
    </row>
    <row r="70" customFormat="false" ht="35.05" hidden="false" customHeight="false" outlineLevel="0" collapsed="false">
      <c r="A70" s="12" t="s">
        <v>3826</v>
      </c>
      <c r="B70" s="12" t="s">
        <v>49</v>
      </c>
      <c r="C70" s="12" t="s">
        <v>142</v>
      </c>
      <c r="D70" s="13" t="s">
        <v>3827</v>
      </c>
      <c r="E70" s="13" t="s">
        <v>3828</v>
      </c>
      <c r="F70" s="13" t="s">
        <v>3829</v>
      </c>
      <c r="G70" s="13" t="s">
        <v>144</v>
      </c>
      <c r="H70" s="13"/>
      <c r="I70" s="13" t="s">
        <v>3504</v>
      </c>
      <c r="J70" s="13" t="s">
        <v>3830</v>
      </c>
      <c r="K70" s="13" t="s">
        <v>3831</v>
      </c>
      <c r="L70" s="14" t="s">
        <v>3832</v>
      </c>
      <c r="M70" s="14" t="s">
        <v>41</v>
      </c>
      <c r="N70" s="14"/>
      <c r="O70" s="14" t="s">
        <v>3832</v>
      </c>
      <c r="P70" s="14" t="s">
        <v>41</v>
      </c>
      <c r="Q70" s="14"/>
      <c r="R70" s="14" t="s">
        <v>3485</v>
      </c>
    </row>
    <row r="71" customFormat="false" ht="35.05" hidden="false" customHeight="false" outlineLevel="0" collapsed="false">
      <c r="A71" s="12" t="s">
        <v>3826</v>
      </c>
      <c r="B71" s="12" t="s">
        <v>49</v>
      </c>
      <c r="C71" s="12" t="s">
        <v>164</v>
      </c>
      <c r="D71" s="13" t="s">
        <v>3827</v>
      </c>
      <c r="E71" s="13" t="s">
        <v>3828</v>
      </c>
      <c r="F71" s="13" t="s">
        <v>3829</v>
      </c>
      <c r="G71" s="13" t="s">
        <v>144</v>
      </c>
      <c r="H71" s="13"/>
      <c r="I71" s="13" t="s">
        <v>1701</v>
      </c>
      <c r="J71" s="13" t="s">
        <v>3833</v>
      </c>
      <c r="K71" s="13" t="s">
        <v>3831</v>
      </c>
      <c r="L71" s="14" t="s">
        <v>3834</v>
      </c>
      <c r="M71" s="14" t="s">
        <v>41</v>
      </c>
      <c r="N71" s="14"/>
      <c r="O71" s="14" t="s">
        <v>3834</v>
      </c>
      <c r="P71" s="14" t="s">
        <v>41</v>
      </c>
      <c r="Q71" s="14"/>
      <c r="R71" s="14" t="s">
        <v>3485</v>
      </c>
    </row>
  </sheetData>
  <conditionalFormatting sqref="M5:M71">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71">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7"/>
    <col collapsed="false" customWidth="true" hidden="false" outlineLevel="0" max="6" min="4" style="0" width="34"/>
    <col collapsed="false" customWidth="true" hidden="false" outlineLevel="0" max="7" min="7" style="0" width="11"/>
    <col collapsed="false" customWidth="true" hidden="false" outlineLevel="0" max="8" min="8" style="0" width="12"/>
    <col collapsed="false" customWidth="true" hidden="false" outlineLevel="0" max="9" min="9" style="0" width="24"/>
    <col collapsed="false" customWidth="true" hidden="false" outlineLevel="0" max="10" min="10" style="0" width="34"/>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3835</v>
      </c>
    </row>
    <row r="2" customFormat="false" ht="15" hidden="false" customHeight="false" outlineLevel="0" collapsed="false">
      <c r="A2" s="2" t="s">
        <v>3836</v>
      </c>
    </row>
    <row r="3" customFormat="false" ht="15" hidden="false" customHeight="false" outlineLevel="0" collapsed="false">
      <c r="A3" s="2" t="s">
        <v>3837</v>
      </c>
    </row>
    <row r="4" customFormat="false" ht="35.05" hidden="false" customHeight="false" outlineLevel="0" collapsed="false">
      <c r="A4" s="8" t="s">
        <v>132</v>
      </c>
      <c r="B4" s="8" t="s">
        <v>40</v>
      </c>
      <c r="C4" s="8" t="s">
        <v>134</v>
      </c>
      <c r="D4" s="8" t="s">
        <v>135</v>
      </c>
      <c r="E4" s="8" t="s">
        <v>1244</v>
      </c>
      <c r="F4" s="8" t="s">
        <v>1245</v>
      </c>
      <c r="G4" s="8" t="s">
        <v>1246</v>
      </c>
      <c r="H4" s="8" t="s">
        <v>1247</v>
      </c>
      <c r="I4" s="8" t="s">
        <v>1248</v>
      </c>
      <c r="J4" s="8" t="s">
        <v>1249</v>
      </c>
      <c r="K4" s="8" t="s">
        <v>1250</v>
      </c>
      <c r="L4" s="8" t="s">
        <v>1251</v>
      </c>
      <c r="M4" s="8" t="s">
        <v>1252</v>
      </c>
      <c r="N4" s="8" t="s">
        <v>1253</v>
      </c>
      <c r="O4" s="8" t="s">
        <v>1256</v>
      </c>
      <c r="P4" s="8" t="s">
        <v>1257</v>
      </c>
      <c r="Q4" s="8" t="s">
        <v>1258</v>
      </c>
      <c r="R4" s="8" t="s">
        <v>1259</v>
      </c>
    </row>
    <row r="5" customFormat="false" ht="23.85" hidden="false" customHeight="false" outlineLevel="0" collapsed="false">
      <c r="A5" s="12" t="s">
        <v>3838</v>
      </c>
      <c r="B5" s="12" t="s">
        <v>45</v>
      </c>
      <c r="C5" s="12" t="s">
        <v>142</v>
      </c>
      <c r="D5" s="13" t="s">
        <v>3839</v>
      </c>
      <c r="E5" s="13" t="s">
        <v>3840</v>
      </c>
      <c r="F5" s="13" t="s">
        <v>3841</v>
      </c>
      <c r="G5" s="13" t="s">
        <v>144</v>
      </c>
      <c r="H5" s="13" t="s">
        <v>3294</v>
      </c>
      <c r="I5" s="13" t="s">
        <v>3295</v>
      </c>
      <c r="J5" s="13" t="s">
        <v>3842</v>
      </c>
      <c r="K5" s="13" t="s">
        <v>3843</v>
      </c>
      <c r="L5" s="14" t="s">
        <v>3298</v>
      </c>
      <c r="M5" s="14" t="s">
        <v>41</v>
      </c>
      <c r="N5" s="14"/>
      <c r="O5" s="14" t="s">
        <v>3298</v>
      </c>
      <c r="P5" s="14" t="s">
        <v>41</v>
      </c>
      <c r="Q5" s="14"/>
      <c r="R5" s="14" t="s">
        <v>3844</v>
      </c>
    </row>
    <row r="6" customFormat="false" ht="23.85" hidden="false" customHeight="false" outlineLevel="0" collapsed="false">
      <c r="A6" s="12" t="s">
        <v>3845</v>
      </c>
      <c r="B6" s="12" t="s">
        <v>45</v>
      </c>
      <c r="C6" s="12" t="s">
        <v>142</v>
      </c>
      <c r="D6" s="13" t="s">
        <v>3846</v>
      </c>
      <c r="E6" s="13" t="s">
        <v>3847</v>
      </c>
      <c r="F6" s="13" t="s">
        <v>3848</v>
      </c>
      <c r="G6" s="13" t="s">
        <v>144</v>
      </c>
      <c r="H6" s="13" t="s">
        <v>3294</v>
      </c>
      <c r="I6" s="13" t="s">
        <v>3849</v>
      </c>
      <c r="J6" s="13" t="s">
        <v>3850</v>
      </c>
      <c r="K6" s="13" t="s">
        <v>3851</v>
      </c>
      <c r="L6" s="14" t="s">
        <v>3852</v>
      </c>
      <c r="M6" s="14" t="s">
        <v>41</v>
      </c>
      <c r="N6" s="14"/>
      <c r="O6" s="14" t="s">
        <v>3852</v>
      </c>
      <c r="P6" s="14" t="s">
        <v>41</v>
      </c>
      <c r="Q6" s="14"/>
      <c r="R6" s="14" t="s">
        <v>3844</v>
      </c>
    </row>
    <row r="7" customFormat="false" ht="23.85" hidden="false" customHeight="false" outlineLevel="0" collapsed="false">
      <c r="A7" s="12" t="s">
        <v>3853</v>
      </c>
      <c r="B7" s="12" t="s">
        <v>45</v>
      </c>
      <c r="C7" s="12" t="s">
        <v>142</v>
      </c>
      <c r="D7" s="13" t="s">
        <v>3854</v>
      </c>
      <c r="E7" s="13" t="s">
        <v>3855</v>
      </c>
      <c r="F7" s="13" t="s">
        <v>3856</v>
      </c>
      <c r="G7" s="13" t="s">
        <v>144</v>
      </c>
      <c r="H7" s="13" t="s">
        <v>3294</v>
      </c>
      <c r="I7" s="13" t="s">
        <v>3295</v>
      </c>
      <c r="J7" s="13" t="s">
        <v>3857</v>
      </c>
      <c r="K7" s="13" t="s">
        <v>3858</v>
      </c>
      <c r="L7" s="14" t="s">
        <v>3298</v>
      </c>
      <c r="M7" s="14" t="s">
        <v>41</v>
      </c>
      <c r="N7" s="14"/>
      <c r="O7" s="14" t="s">
        <v>3298</v>
      </c>
      <c r="P7" s="14" t="s">
        <v>41</v>
      </c>
      <c r="Q7" s="14"/>
      <c r="R7" s="14" t="s">
        <v>3844</v>
      </c>
    </row>
    <row r="8" customFormat="false" ht="23.85" hidden="false" customHeight="false" outlineLevel="0" collapsed="false">
      <c r="A8" s="12" t="s">
        <v>3859</v>
      </c>
      <c r="B8" s="12" t="s">
        <v>45</v>
      </c>
      <c r="C8" s="12" t="s">
        <v>142</v>
      </c>
      <c r="D8" s="13" t="s">
        <v>3860</v>
      </c>
      <c r="E8" s="13" t="s">
        <v>3861</v>
      </c>
      <c r="F8" s="13" t="s">
        <v>3862</v>
      </c>
      <c r="G8" s="13" t="s">
        <v>144</v>
      </c>
      <c r="H8" s="13" t="s">
        <v>3294</v>
      </c>
      <c r="I8" s="13" t="s">
        <v>3849</v>
      </c>
      <c r="J8" s="13" t="s">
        <v>3863</v>
      </c>
      <c r="K8" s="13" t="s">
        <v>3864</v>
      </c>
      <c r="L8" s="14" t="s">
        <v>3865</v>
      </c>
      <c r="M8" s="14" t="s">
        <v>41</v>
      </c>
      <c r="N8" s="14"/>
      <c r="O8" s="14" t="s">
        <v>3866</v>
      </c>
      <c r="P8" s="14" t="s">
        <v>41</v>
      </c>
      <c r="Q8" s="14"/>
      <c r="R8" s="14" t="s">
        <v>3844</v>
      </c>
    </row>
    <row r="9" customFormat="false" ht="23.85" hidden="false" customHeight="false" outlineLevel="0" collapsed="false">
      <c r="A9" s="12" t="s">
        <v>3867</v>
      </c>
      <c r="B9" s="12" t="s">
        <v>45</v>
      </c>
      <c r="C9" s="12" t="s">
        <v>142</v>
      </c>
      <c r="D9" s="13" t="s">
        <v>3868</v>
      </c>
      <c r="E9" s="13" t="s">
        <v>3869</v>
      </c>
      <c r="F9" s="13" t="s">
        <v>3870</v>
      </c>
      <c r="G9" s="13" t="s">
        <v>144</v>
      </c>
      <c r="H9" s="13" t="s">
        <v>3294</v>
      </c>
      <c r="I9" s="13" t="s">
        <v>3295</v>
      </c>
      <c r="J9" s="13" t="s">
        <v>3871</v>
      </c>
      <c r="K9" s="13" t="s">
        <v>104</v>
      </c>
      <c r="L9" s="14" t="s">
        <v>3298</v>
      </c>
      <c r="M9" s="14" t="s">
        <v>41</v>
      </c>
      <c r="N9" s="14"/>
      <c r="O9" s="14" t="s">
        <v>3298</v>
      </c>
      <c r="P9" s="14" t="s">
        <v>41</v>
      </c>
      <c r="Q9" s="14"/>
      <c r="R9" s="14" t="s">
        <v>3844</v>
      </c>
    </row>
    <row r="10" customFormat="false" ht="23.85" hidden="false" customHeight="false" outlineLevel="0" collapsed="false">
      <c r="A10" s="12" t="s">
        <v>3872</v>
      </c>
      <c r="B10" s="12" t="s">
        <v>45</v>
      </c>
      <c r="C10" s="12" t="s">
        <v>142</v>
      </c>
      <c r="D10" s="13" t="s">
        <v>3873</v>
      </c>
      <c r="E10" s="13" t="s">
        <v>3874</v>
      </c>
      <c r="F10" s="13" t="s">
        <v>3875</v>
      </c>
      <c r="G10" s="13" t="s">
        <v>144</v>
      </c>
      <c r="H10" s="13" t="s">
        <v>3294</v>
      </c>
      <c r="I10" s="13" t="s">
        <v>3849</v>
      </c>
      <c r="J10" s="13" t="s">
        <v>3876</v>
      </c>
      <c r="K10" s="13" t="s">
        <v>3877</v>
      </c>
      <c r="L10" s="14" t="s">
        <v>3878</v>
      </c>
      <c r="M10" s="14" t="s">
        <v>41</v>
      </c>
      <c r="N10" s="14"/>
      <c r="O10" s="14" t="s">
        <v>3878</v>
      </c>
      <c r="P10" s="14" t="s">
        <v>41</v>
      </c>
      <c r="Q10" s="14"/>
      <c r="R10" s="14" t="s">
        <v>3844</v>
      </c>
    </row>
    <row r="11" customFormat="false" ht="35.05" hidden="false" customHeight="false" outlineLevel="0" collapsed="false">
      <c r="A11" s="12" t="s">
        <v>3879</v>
      </c>
      <c r="B11" s="12" t="s">
        <v>45</v>
      </c>
      <c r="C11" s="12" t="s">
        <v>142</v>
      </c>
      <c r="D11" s="13" t="s">
        <v>3880</v>
      </c>
      <c r="E11" s="13" t="s">
        <v>3881</v>
      </c>
      <c r="F11" s="13" t="s">
        <v>3882</v>
      </c>
      <c r="G11" s="13" t="s">
        <v>144</v>
      </c>
      <c r="H11" s="13" t="s">
        <v>3294</v>
      </c>
      <c r="I11" s="13" t="s">
        <v>3295</v>
      </c>
      <c r="J11" s="13" t="s">
        <v>3883</v>
      </c>
      <c r="K11" s="13" t="s">
        <v>3884</v>
      </c>
      <c r="L11" s="14" t="s">
        <v>3885</v>
      </c>
      <c r="M11" s="14" t="s">
        <v>41</v>
      </c>
      <c r="N11" s="14"/>
      <c r="O11" s="14" t="s">
        <v>3885</v>
      </c>
      <c r="P11" s="14" t="s">
        <v>41</v>
      </c>
      <c r="Q11" s="14"/>
      <c r="R11" s="14" t="s">
        <v>3844</v>
      </c>
    </row>
    <row r="12" customFormat="false" ht="23.85" hidden="false" customHeight="false" outlineLevel="0" collapsed="false">
      <c r="A12" s="12" t="s">
        <v>3886</v>
      </c>
      <c r="B12" s="12" t="s">
        <v>45</v>
      </c>
      <c r="C12" s="12" t="s">
        <v>142</v>
      </c>
      <c r="D12" s="13" t="s">
        <v>3887</v>
      </c>
      <c r="E12" s="13" t="s">
        <v>3888</v>
      </c>
      <c r="F12" s="13" t="s">
        <v>3889</v>
      </c>
      <c r="G12" s="13" t="s">
        <v>144</v>
      </c>
      <c r="H12" s="13" t="s">
        <v>3294</v>
      </c>
      <c r="I12" s="13" t="s">
        <v>3849</v>
      </c>
      <c r="J12" s="13" t="s">
        <v>3890</v>
      </c>
      <c r="K12" s="13" t="s">
        <v>3891</v>
      </c>
      <c r="L12" s="14" t="s">
        <v>3892</v>
      </c>
      <c r="M12" s="14" t="s">
        <v>41</v>
      </c>
      <c r="N12" s="14"/>
      <c r="O12" s="14" t="s">
        <v>3892</v>
      </c>
      <c r="P12" s="14" t="s">
        <v>41</v>
      </c>
      <c r="Q12" s="14"/>
      <c r="R12" s="14" t="s">
        <v>3844</v>
      </c>
    </row>
    <row r="13" customFormat="false" ht="23.85" hidden="false" customHeight="false" outlineLevel="0" collapsed="false">
      <c r="A13" s="12" t="s">
        <v>3893</v>
      </c>
      <c r="B13" s="12" t="s">
        <v>45</v>
      </c>
      <c r="C13" s="12" t="s">
        <v>142</v>
      </c>
      <c r="D13" s="13" t="s">
        <v>3894</v>
      </c>
      <c r="E13" s="13" t="s">
        <v>3895</v>
      </c>
      <c r="F13" s="13" t="s">
        <v>3896</v>
      </c>
      <c r="G13" s="13" t="s">
        <v>144</v>
      </c>
      <c r="H13" s="13" t="s">
        <v>3294</v>
      </c>
      <c r="I13" s="13" t="s">
        <v>3295</v>
      </c>
      <c r="J13" s="13" t="s">
        <v>3897</v>
      </c>
      <c r="K13" s="13" t="s">
        <v>3898</v>
      </c>
      <c r="L13" s="14" t="s">
        <v>3298</v>
      </c>
      <c r="M13" s="14" t="s">
        <v>41</v>
      </c>
      <c r="N13" s="14"/>
      <c r="O13" s="14" t="s">
        <v>3298</v>
      </c>
      <c r="P13" s="14" t="s">
        <v>41</v>
      </c>
      <c r="Q13" s="14"/>
      <c r="R13" s="14" t="s">
        <v>3844</v>
      </c>
    </row>
    <row r="14" customFormat="false" ht="23.85" hidden="false" customHeight="false" outlineLevel="0" collapsed="false">
      <c r="A14" s="12" t="s">
        <v>3899</v>
      </c>
      <c r="B14" s="12" t="s">
        <v>45</v>
      </c>
      <c r="C14" s="12" t="s">
        <v>142</v>
      </c>
      <c r="D14" s="13" t="s">
        <v>3900</v>
      </c>
      <c r="E14" s="13" t="s">
        <v>3901</v>
      </c>
      <c r="F14" s="13" t="s">
        <v>3902</v>
      </c>
      <c r="G14" s="13" t="s">
        <v>144</v>
      </c>
      <c r="H14" s="13" t="s">
        <v>3294</v>
      </c>
      <c r="I14" s="13" t="s">
        <v>3849</v>
      </c>
      <c r="J14" s="13" t="s">
        <v>3903</v>
      </c>
      <c r="K14" s="13" t="s">
        <v>3904</v>
      </c>
      <c r="L14" s="14" t="s">
        <v>3905</v>
      </c>
      <c r="M14" s="14" t="s">
        <v>41</v>
      </c>
      <c r="N14" s="14"/>
      <c r="O14" s="14" t="s">
        <v>3905</v>
      </c>
      <c r="P14" s="14" t="s">
        <v>41</v>
      </c>
      <c r="Q14" s="14"/>
      <c r="R14" s="14" t="s">
        <v>3844</v>
      </c>
    </row>
    <row r="15" customFormat="false" ht="23.85" hidden="false" customHeight="false" outlineLevel="0" collapsed="false">
      <c r="A15" s="12" t="s">
        <v>3906</v>
      </c>
      <c r="B15" s="12" t="s">
        <v>46</v>
      </c>
      <c r="C15" s="12" t="s">
        <v>142</v>
      </c>
      <c r="D15" s="13" t="s">
        <v>3907</v>
      </c>
      <c r="E15" s="13" t="s">
        <v>3908</v>
      </c>
      <c r="F15" s="13" t="s">
        <v>3909</v>
      </c>
      <c r="G15" s="13" t="s">
        <v>144</v>
      </c>
      <c r="H15" s="13" t="s">
        <v>3294</v>
      </c>
      <c r="I15" s="13" t="s">
        <v>3295</v>
      </c>
      <c r="J15" s="13" t="s">
        <v>3842</v>
      </c>
      <c r="K15" s="13" t="s">
        <v>3910</v>
      </c>
      <c r="L15" s="14" t="s">
        <v>3298</v>
      </c>
      <c r="M15" s="14" t="s">
        <v>41</v>
      </c>
      <c r="N15" s="14"/>
      <c r="O15" s="14" t="s">
        <v>3911</v>
      </c>
      <c r="P15" s="14" t="s">
        <v>41</v>
      </c>
      <c r="Q15" s="14"/>
      <c r="R15" s="14" t="s">
        <v>3844</v>
      </c>
    </row>
    <row r="16" customFormat="false" ht="23.85" hidden="false" customHeight="false" outlineLevel="0" collapsed="false">
      <c r="A16" s="12" t="s">
        <v>3906</v>
      </c>
      <c r="B16" s="12" t="s">
        <v>46</v>
      </c>
      <c r="C16" s="12" t="s">
        <v>164</v>
      </c>
      <c r="D16" s="13" t="s">
        <v>3907</v>
      </c>
      <c r="E16" s="13" t="s">
        <v>3908</v>
      </c>
      <c r="F16" s="13" t="s">
        <v>3909</v>
      </c>
      <c r="G16" s="13" t="s">
        <v>144</v>
      </c>
      <c r="H16" s="13" t="s">
        <v>3294</v>
      </c>
      <c r="I16" s="13" t="s">
        <v>3849</v>
      </c>
      <c r="J16" s="13" t="s">
        <v>3912</v>
      </c>
      <c r="K16" s="13" t="s">
        <v>3910</v>
      </c>
      <c r="L16" s="14" t="s">
        <v>3913</v>
      </c>
      <c r="M16" s="14" t="s">
        <v>41</v>
      </c>
      <c r="N16" s="14"/>
      <c r="O16" s="14" t="s">
        <v>3913</v>
      </c>
      <c r="P16" s="14" t="s">
        <v>41</v>
      </c>
      <c r="Q16" s="14"/>
      <c r="R16" s="14" t="s">
        <v>3844</v>
      </c>
    </row>
    <row r="17" customFormat="false" ht="23.85" hidden="false" customHeight="false" outlineLevel="0" collapsed="false">
      <c r="A17" s="12" t="s">
        <v>3914</v>
      </c>
      <c r="B17" s="12" t="s">
        <v>46</v>
      </c>
      <c r="C17" s="12" t="s">
        <v>142</v>
      </c>
      <c r="D17" s="13" t="s">
        <v>3915</v>
      </c>
      <c r="E17" s="13" t="s">
        <v>3916</v>
      </c>
      <c r="F17" s="13" t="s">
        <v>3917</v>
      </c>
      <c r="G17" s="13" t="s">
        <v>144</v>
      </c>
      <c r="H17" s="13" t="s">
        <v>3294</v>
      </c>
      <c r="I17" s="13" t="s">
        <v>3295</v>
      </c>
      <c r="J17" s="13" t="s">
        <v>3857</v>
      </c>
      <c r="K17" s="13" t="s">
        <v>3918</v>
      </c>
      <c r="L17" s="14"/>
      <c r="M17" s="14" t="s">
        <v>44</v>
      </c>
      <c r="N17" s="14" t="s">
        <v>3919</v>
      </c>
      <c r="O17" s="14" t="s">
        <v>3298</v>
      </c>
      <c r="P17" s="14" t="s">
        <v>41</v>
      </c>
      <c r="Q17" s="14"/>
      <c r="R17" s="14" t="s">
        <v>3844</v>
      </c>
    </row>
    <row r="18" customFormat="false" ht="23.85" hidden="false" customHeight="false" outlineLevel="0" collapsed="false">
      <c r="A18" s="12" t="s">
        <v>3914</v>
      </c>
      <c r="B18" s="12" t="s">
        <v>46</v>
      </c>
      <c r="C18" s="12" t="s">
        <v>1396</v>
      </c>
      <c r="D18" s="13" t="s">
        <v>3915</v>
      </c>
      <c r="E18" s="13" t="s">
        <v>3916</v>
      </c>
      <c r="F18" s="13" t="s">
        <v>3917</v>
      </c>
      <c r="G18" s="13" t="s">
        <v>144</v>
      </c>
      <c r="H18" s="13"/>
      <c r="I18" s="13" t="s">
        <v>387</v>
      </c>
      <c r="J18" s="13"/>
      <c r="K18" s="13" t="s">
        <v>3918</v>
      </c>
      <c r="L18" s="14"/>
      <c r="M18" s="14" t="s">
        <v>43</v>
      </c>
      <c r="N18" s="14" t="s">
        <v>3920</v>
      </c>
      <c r="O18" s="14"/>
      <c r="P18" s="14"/>
      <c r="Q18" s="14"/>
      <c r="R18" s="14"/>
    </row>
    <row r="19" customFormat="false" ht="23.85" hidden="false" customHeight="false" outlineLevel="0" collapsed="false">
      <c r="A19" s="12" t="s">
        <v>3921</v>
      </c>
      <c r="B19" s="12" t="s">
        <v>46</v>
      </c>
      <c r="C19" s="12" t="s">
        <v>142</v>
      </c>
      <c r="D19" s="13" t="s">
        <v>3922</v>
      </c>
      <c r="E19" s="13" t="s">
        <v>3923</v>
      </c>
      <c r="F19" s="13" t="s">
        <v>3924</v>
      </c>
      <c r="G19" s="13" t="s">
        <v>144</v>
      </c>
      <c r="H19" s="13" t="s">
        <v>3294</v>
      </c>
      <c r="I19" s="13" t="s">
        <v>3849</v>
      </c>
      <c r="J19" s="13" t="s">
        <v>3876</v>
      </c>
      <c r="K19" s="13" t="s">
        <v>3925</v>
      </c>
      <c r="L19" s="14" t="s">
        <v>3926</v>
      </c>
      <c r="M19" s="14" t="s">
        <v>41</v>
      </c>
      <c r="N19" s="14"/>
      <c r="O19" s="14" t="s">
        <v>3926</v>
      </c>
      <c r="P19" s="14" t="s">
        <v>41</v>
      </c>
      <c r="Q19" s="14"/>
      <c r="R19" s="14" t="s">
        <v>3844</v>
      </c>
    </row>
    <row r="20" customFormat="false" ht="23.85" hidden="false" customHeight="false" outlineLevel="0" collapsed="false">
      <c r="A20" s="12" t="s">
        <v>3927</v>
      </c>
      <c r="B20" s="12" t="s">
        <v>46</v>
      </c>
      <c r="C20" s="12" t="s">
        <v>142</v>
      </c>
      <c r="D20" s="13" t="s">
        <v>3928</v>
      </c>
      <c r="E20" s="13" t="s">
        <v>3929</v>
      </c>
      <c r="F20" s="13" t="s">
        <v>3930</v>
      </c>
      <c r="G20" s="13" t="s">
        <v>144</v>
      </c>
      <c r="H20" s="13" t="s">
        <v>3294</v>
      </c>
      <c r="I20" s="13" t="s">
        <v>3849</v>
      </c>
      <c r="J20" s="13" t="s">
        <v>3931</v>
      </c>
      <c r="K20" s="13" t="s">
        <v>3932</v>
      </c>
      <c r="L20" s="14" t="s">
        <v>3933</v>
      </c>
      <c r="M20" s="14" t="s">
        <v>43</v>
      </c>
      <c r="N20" s="14" t="s">
        <v>3934</v>
      </c>
      <c r="O20" s="14" t="s">
        <v>3935</v>
      </c>
      <c r="P20" s="14" t="s">
        <v>41</v>
      </c>
      <c r="Q20" s="14"/>
      <c r="R20" s="14" t="s">
        <v>3844</v>
      </c>
    </row>
    <row r="21" customFormat="false" ht="23.85" hidden="false" customHeight="false" outlineLevel="0" collapsed="false">
      <c r="A21" s="12" t="s">
        <v>3927</v>
      </c>
      <c r="B21" s="12" t="s">
        <v>46</v>
      </c>
      <c r="C21" s="12" t="s">
        <v>1396</v>
      </c>
      <c r="D21" s="13" t="s">
        <v>3928</v>
      </c>
      <c r="E21" s="13" t="s">
        <v>3929</v>
      </c>
      <c r="F21" s="13" t="s">
        <v>3930</v>
      </c>
      <c r="G21" s="13" t="s">
        <v>144</v>
      </c>
      <c r="H21" s="13"/>
      <c r="I21" s="13" t="s">
        <v>387</v>
      </c>
      <c r="J21" s="13"/>
      <c r="K21" s="13" t="s">
        <v>3932</v>
      </c>
      <c r="L21" s="14"/>
      <c r="M21" s="14" t="s">
        <v>43</v>
      </c>
      <c r="N21" s="14" t="s">
        <v>3936</v>
      </c>
      <c r="O21" s="14"/>
      <c r="P21" s="14"/>
      <c r="Q21" s="14"/>
      <c r="R21" s="14"/>
    </row>
    <row r="22" customFormat="false" ht="23.85" hidden="false" customHeight="false" outlineLevel="0" collapsed="false">
      <c r="A22" s="12" t="s">
        <v>3937</v>
      </c>
      <c r="B22" s="12" t="s">
        <v>46</v>
      </c>
      <c r="C22" s="12" t="s">
        <v>142</v>
      </c>
      <c r="D22" s="13" t="s">
        <v>3938</v>
      </c>
      <c r="E22" s="13" t="s">
        <v>3939</v>
      </c>
      <c r="F22" s="13" t="s">
        <v>3940</v>
      </c>
      <c r="G22" s="13" t="s">
        <v>144</v>
      </c>
      <c r="H22" s="13" t="s">
        <v>3294</v>
      </c>
      <c r="I22" s="13" t="s">
        <v>3295</v>
      </c>
      <c r="J22" s="13" t="s">
        <v>3897</v>
      </c>
      <c r="K22" s="13" t="s">
        <v>3941</v>
      </c>
      <c r="L22" s="14" t="s">
        <v>3942</v>
      </c>
      <c r="M22" s="14" t="s">
        <v>43</v>
      </c>
      <c r="N22" s="14" t="s">
        <v>3943</v>
      </c>
      <c r="O22" s="14" t="s">
        <v>3298</v>
      </c>
      <c r="P22" s="14" t="s">
        <v>41</v>
      </c>
      <c r="Q22" s="14"/>
      <c r="R22" s="14" t="s">
        <v>3844</v>
      </c>
    </row>
    <row r="23" customFormat="false" ht="23.85" hidden="false" customHeight="false" outlineLevel="0" collapsed="false">
      <c r="A23" s="12" t="s">
        <v>3944</v>
      </c>
      <c r="B23" s="12" t="s">
        <v>46</v>
      </c>
      <c r="C23" s="12" t="s">
        <v>142</v>
      </c>
      <c r="D23" s="13" t="s">
        <v>3945</v>
      </c>
      <c r="E23" s="13" t="s">
        <v>3946</v>
      </c>
      <c r="F23" s="13" t="s">
        <v>3947</v>
      </c>
      <c r="G23" s="13" t="s">
        <v>144</v>
      </c>
      <c r="H23" s="13" t="s">
        <v>3294</v>
      </c>
      <c r="I23" s="13" t="s">
        <v>3295</v>
      </c>
      <c r="J23" s="13" t="s">
        <v>3948</v>
      </c>
      <c r="K23" s="13" t="s">
        <v>3949</v>
      </c>
      <c r="L23" s="14" t="s">
        <v>3298</v>
      </c>
      <c r="M23" s="14" t="s">
        <v>41</v>
      </c>
      <c r="N23" s="14"/>
      <c r="O23" s="14" t="s">
        <v>3298</v>
      </c>
      <c r="P23" s="14" t="s">
        <v>41</v>
      </c>
      <c r="Q23" s="14"/>
      <c r="R23" s="14" t="s">
        <v>3844</v>
      </c>
    </row>
    <row r="24" customFormat="false" ht="35.05" hidden="false" customHeight="false" outlineLevel="0" collapsed="false">
      <c r="A24" s="12" t="s">
        <v>3950</v>
      </c>
      <c r="B24" s="12" t="s">
        <v>46</v>
      </c>
      <c r="C24" s="12" t="s">
        <v>142</v>
      </c>
      <c r="D24" s="13" t="s">
        <v>3951</v>
      </c>
      <c r="E24" s="13" t="s">
        <v>3952</v>
      </c>
      <c r="F24" s="13" t="s">
        <v>3953</v>
      </c>
      <c r="G24" s="13" t="s">
        <v>144</v>
      </c>
      <c r="H24" s="13" t="s">
        <v>3294</v>
      </c>
      <c r="I24" s="13" t="s">
        <v>3849</v>
      </c>
      <c r="J24" s="13" t="s">
        <v>3954</v>
      </c>
      <c r="K24" s="13" t="s">
        <v>3955</v>
      </c>
      <c r="L24" s="14" t="s">
        <v>3956</v>
      </c>
      <c r="M24" s="14" t="s">
        <v>41</v>
      </c>
      <c r="N24" s="14"/>
      <c r="O24" s="14" t="s">
        <v>3956</v>
      </c>
      <c r="P24" s="14" t="s">
        <v>41</v>
      </c>
      <c r="Q24" s="14"/>
      <c r="R24" s="14" t="s">
        <v>3844</v>
      </c>
    </row>
    <row r="25" customFormat="false" ht="35.05" hidden="false" customHeight="false" outlineLevel="0" collapsed="false">
      <c r="A25" s="12" t="s">
        <v>3957</v>
      </c>
      <c r="B25" s="12" t="s">
        <v>46</v>
      </c>
      <c r="C25" s="12" t="s">
        <v>142</v>
      </c>
      <c r="D25" s="13" t="s">
        <v>3958</v>
      </c>
      <c r="E25" s="13" t="s">
        <v>3959</v>
      </c>
      <c r="F25" s="13" t="s">
        <v>3960</v>
      </c>
      <c r="G25" s="13" t="s">
        <v>144</v>
      </c>
      <c r="H25" s="13" t="s">
        <v>3294</v>
      </c>
      <c r="I25" s="13" t="s">
        <v>3295</v>
      </c>
      <c r="J25" s="13" t="s">
        <v>3857</v>
      </c>
      <c r="K25" s="13" t="s">
        <v>3961</v>
      </c>
      <c r="L25" s="14" t="s">
        <v>3962</v>
      </c>
      <c r="M25" s="14" t="s">
        <v>44</v>
      </c>
      <c r="N25" s="14" t="s">
        <v>3919</v>
      </c>
      <c r="O25" s="14" t="s">
        <v>3298</v>
      </c>
      <c r="P25" s="14" t="s">
        <v>41</v>
      </c>
      <c r="Q25" s="14"/>
      <c r="R25" s="14" t="s">
        <v>3844</v>
      </c>
    </row>
    <row r="26" customFormat="false" ht="35.05" hidden="false" customHeight="false" outlineLevel="0" collapsed="false">
      <c r="A26" s="12" t="s">
        <v>3957</v>
      </c>
      <c r="B26" s="12" t="s">
        <v>46</v>
      </c>
      <c r="C26" s="12" t="s">
        <v>164</v>
      </c>
      <c r="D26" s="13" t="s">
        <v>3958</v>
      </c>
      <c r="E26" s="13" t="s">
        <v>3959</v>
      </c>
      <c r="F26" s="13" t="s">
        <v>3960</v>
      </c>
      <c r="G26" s="13" t="s">
        <v>144</v>
      </c>
      <c r="H26" s="13" t="s">
        <v>3294</v>
      </c>
      <c r="I26" s="13" t="s">
        <v>3849</v>
      </c>
      <c r="J26" s="13" t="s">
        <v>3963</v>
      </c>
      <c r="K26" s="13" t="s">
        <v>3961</v>
      </c>
      <c r="L26" s="14" t="s">
        <v>3962</v>
      </c>
      <c r="M26" s="14" t="s">
        <v>44</v>
      </c>
      <c r="N26" s="14" t="s">
        <v>3964</v>
      </c>
      <c r="O26" s="14"/>
      <c r="P26" s="14" t="s">
        <v>44</v>
      </c>
      <c r="Q26" s="14" t="s">
        <v>3964</v>
      </c>
      <c r="R26" s="14" t="s">
        <v>3844</v>
      </c>
    </row>
    <row r="27" customFormat="false" ht="35.05" hidden="false" customHeight="false" outlineLevel="0" collapsed="false">
      <c r="A27" s="12" t="s">
        <v>3957</v>
      </c>
      <c r="B27" s="12" t="s">
        <v>46</v>
      </c>
      <c r="C27" s="12" t="s">
        <v>386</v>
      </c>
      <c r="D27" s="13" t="s">
        <v>3958</v>
      </c>
      <c r="E27" s="13" t="s">
        <v>3959</v>
      </c>
      <c r="F27" s="13" t="s">
        <v>3960</v>
      </c>
      <c r="G27" s="13" t="s">
        <v>144</v>
      </c>
      <c r="H27" s="13" t="s">
        <v>3294</v>
      </c>
      <c r="I27" s="13" t="s">
        <v>3849</v>
      </c>
      <c r="J27" s="13" t="s">
        <v>3863</v>
      </c>
      <c r="K27" s="13" t="s">
        <v>3961</v>
      </c>
      <c r="L27" s="14" t="s">
        <v>3962</v>
      </c>
      <c r="M27" s="14" t="s">
        <v>44</v>
      </c>
      <c r="N27" s="14" t="s">
        <v>3964</v>
      </c>
      <c r="O27" s="14"/>
      <c r="P27" s="14" t="s">
        <v>44</v>
      </c>
      <c r="Q27" s="14"/>
      <c r="R27" s="14" t="s">
        <v>3844</v>
      </c>
    </row>
    <row r="28" customFormat="false" ht="23.85" hidden="false" customHeight="false" outlineLevel="0" collapsed="false">
      <c r="A28" s="12" t="s">
        <v>3965</v>
      </c>
      <c r="B28" s="12" t="s">
        <v>46</v>
      </c>
      <c r="C28" s="12" t="s">
        <v>142</v>
      </c>
      <c r="D28" s="13" t="s">
        <v>3966</v>
      </c>
      <c r="E28" s="13" t="s">
        <v>3967</v>
      </c>
      <c r="F28" s="13" t="s">
        <v>3968</v>
      </c>
      <c r="G28" s="13" t="s">
        <v>144</v>
      </c>
      <c r="H28" s="13" t="s">
        <v>3294</v>
      </c>
      <c r="I28" s="13" t="s">
        <v>3295</v>
      </c>
      <c r="J28" s="13" t="s">
        <v>3969</v>
      </c>
      <c r="K28" s="13" t="s">
        <v>3970</v>
      </c>
      <c r="L28" s="14" t="s">
        <v>3298</v>
      </c>
      <c r="M28" s="14" t="s">
        <v>41</v>
      </c>
      <c r="N28" s="14"/>
      <c r="O28" s="14" t="s">
        <v>3298</v>
      </c>
      <c r="P28" s="14" t="s">
        <v>41</v>
      </c>
      <c r="Q28" s="14"/>
      <c r="R28" s="14" t="s">
        <v>3844</v>
      </c>
    </row>
    <row r="29" customFormat="false" ht="23.85" hidden="false" customHeight="false" outlineLevel="0" collapsed="false">
      <c r="A29" s="12" t="s">
        <v>3971</v>
      </c>
      <c r="B29" s="12" t="s">
        <v>46</v>
      </c>
      <c r="C29" s="12" t="s">
        <v>142</v>
      </c>
      <c r="D29" s="13" t="s">
        <v>3972</v>
      </c>
      <c r="E29" s="13" t="s">
        <v>3973</v>
      </c>
      <c r="F29" s="13" t="s">
        <v>3974</v>
      </c>
      <c r="G29" s="13" t="s">
        <v>144</v>
      </c>
      <c r="H29" s="13" t="s">
        <v>3294</v>
      </c>
      <c r="I29" s="13" t="s">
        <v>3849</v>
      </c>
      <c r="J29" s="13" t="s">
        <v>3975</v>
      </c>
      <c r="K29" s="13" t="s">
        <v>3976</v>
      </c>
      <c r="L29" s="14" t="s">
        <v>3977</v>
      </c>
      <c r="M29" s="14" t="s">
        <v>41</v>
      </c>
      <c r="N29" s="14"/>
      <c r="O29" s="14" t="s">
        <v>3977</v>
      </c>
      <c r="P29" s="14" t="s">
        <v>41</v>
      </c>
      <c r="Q29" s="14"/>
      <c r="R29" s="14" t="s">
        <v>3844</v>
      </c>
    </row>
    <row r="30" customFormat="false" ht="23.85" hidden="false" customHeight="false" outlineLevel="0" collapsed="false">
      <c r="A30" s="12" t="s">
        <v>3971</v>
      </c>
      <c r="B30" s="12" t="s">
        <v>46</v>
      </c>
      <c r="C30" s="12" t="s">
        <v>164</v>
      </c>
      <c r="D30" s="13" t="s">
        <v>3972</v>
      </c>
      <c r="E30" s="13" t="s">
        <v>3973</v>
      </c>
      <c r="F30" s="13" t="s">
        <v>3974</v>
      </c>
      <c r="G30" s="13" t="s">
        <v>144</v>
      </c>
      <c r="H30" s="13" t="s">
        <v>3294</v>
      </c>
      <c r="I30" s="13" t="s">
        <v>3849</v>
      </c>
      <c r="J30" s="13" t="s">
        <v>3978</v>
      </c>
      <c r="K30" s="13" t="s">
        <v>3976</v>
      </c>
      <c r="L30" s="14" t="s">
        <v>3913</v>
      </c>
      <c r="M30" s="14" t="s">
        <v>41</v>
      </c>
      <c r="N30" s="14"/>
      <c r="O30" s="14" t="s">
        <v>3913</v>
      </c>
      <c r="P30" s="14" t="s">
        <v>41</v>
      </c>
      <c r="Q30" s="14"/>
      <c r="R30" s="14" t="s">
        <v>3844</v>
      </c>
    </row>
    <row r="31" customFormat="false" ht="23.85" hidden="false" customHeight="false" outlineLevel="0" collapsed="false">
      <c r="A31" s="12" t="s">
        <v>3979</v>
      </c>
      <c r="B31" s="12" t="s">
        <v>47</v>
      </c>
      <c r="C31" s="12" t="s">
        <v>142</v>
      </c>
      <c r="D31" s="13" t="s">
        <v>3980</v>
      </c>
      <c r="E31" s="13" t="s">
        <v>3981</v>
      </c>
      <c r="F31" s="13" t="s">
        <v>3982</v>
      </c>
      <c r="G31" s="13" t="s">
        <v>206</v>
      </c>
      <c r="H31" s="13"/>
      <c r="I31" s="13" t="s">
        <v>387</v>
      </c>
      <c r="J31" s="13" t="s">
        <v>3983</v>
      </c>
      <c r="K31" s="13" t="s">
        <v>3984</v>
      </c>
      <c r="L31" s="14" t="s">
        <v>3985</v>
      </c>
      <c r="M31" s="14" t="s">
        <v>41</v>
      </c>
      <c r="N31" s="14"/>
      <c r="O31" s="14" t="s">
        <v>3985</v>
      </c>
      <c r="P31" s="14" t="s">
        <v>41</v>
      </c>
      <c r="Q31" s="14"/>
      <c r="R31" s="14" t="s">
        <v>3844</v>
      </c>
    </row>
    <row r="32" customFormat="false" ht="15" hidden="false" customHeight="false" outlineLevel="0" collapsed="false">
      <c r="A32" s="12" t="s">
        <v>3986</v>
      </c>
      <c r="B32" s="12" t="s">
        <v>47</v>
      </c>
      <c r="C32" s="12" t="s">
        <v>142</v>
      </c>
      <c r="D32" s="13" t="s">
        <v>3987</v>
      </c>
      <c r="E32" s="13" t="s">
        <v>3988</v>
      </c>
      <c r="F32" s="13" t="s">
        <v>3989</v>
      </c>
      <c r="G32" s="13" t="s">
        <v>206</v>
      </c>
      <c r="H32" s="13"/>
      <c r="I32" s="13" t="s">
        <v>387</v>
      </c>
      <c r="J32" s="13" t="s">
        <v>3990</v>
      </c>
      <c r="K32" s="13" t="s">
        <v>3991</v>
      </c>
      <c r="L32" s="14" t="s">
        <v>3992</v>
      </c>
      <c r="M32" s="14" t="s">
        <v>41</v>
      </c>
      <c r="N32" s="14"/>
      <c r="O32" s="14" t="s">
        <v>3992</v>
      </c>
      <c r="P32" s="14" t="s">
        <v>41</v>
      </c>
      <c r="Q32" s="14"/>
      <c r="R32" s="14" t="s">
        <v>3844</v>
      </c>
    </row>
    <row r="33" customFormat="false" ht="23.85" hidden="false" customHeight="false" outlineLevel="0" collapsed="false">
      <c r="A33" s="12" t="s">
        <v>3993</v>
      </c>
      <c r="B33" s="12" t="s">
        <v>47</v>
      </c>
      <c r="C33" s="12" t="s">
        <v>142</v>
      </c>
      <c r="D33" s="13" t="s">
        <v>3994</v>
      </c>
      <c r="E33" s="13" t="s">
        <v>3995</v>
      </c>
      <c r="F33" s="13" t="s">
        <v>3996</v>
      </c>
      <c r="G33" s="13" t="s">
        <v>178</v>
      </c>
      <c r="H33" s="13" t="s">
        <v>591</v>
      </c>
      <c r="I33" s="13" t="s">
        <v>1460</v>
      </c>
      <c r="J33" s="13"/>
      <c r="K33" s="13" t="s">
        <v>3997</v>
      </c>
      <c r="L33" s="14" t="s">
        <v>1471</v>
      </c>
      <c r="M33" s="14" t="s">
        <v>41</v>
      </c>
      <c r="N33" s="14"/>
      <c r="O33" s="14" t="s">
        <v>1471</v>
      </c>
      <c r="P33" s="14" t="s">
        <v>41</v>
      </c>
      <c r="Q33" s="14"/>
      <c r="R33" s="14" t="s">
        <v>3844</v>
      </c>
    </row>
    <row r="34" customFormat="false" ht="23.85" hidden="false" customHeight="false" outlineLevel="0" collapsed="false">
      <c r="A34" s="12" t="s">
        <v>3998</v>
      </c>
      <c r="B34" s="12" t="s">
        <v>47</v>
      </c>
      <c r="C34" s="12" t="s">
        <v>142</v>
      </c>
      <c r="D34" s="13" t="s">
        <v>3999</v>
      </c>
      <c r="E34" s="13" t="s">
        <v>4000</v>
      </c>
      <c r="F34" s="13" t="s">
        <v>4001</v>
      </c>
      <c r="G34" s="13" t="s">
        <v>144</v>
      </c>
      <c r="H34" s="13" t="s">
        <v>3294</v>
      </c>
      <c r="I34" s="13" t="s">
        <v>3295</v>
      </c>
      <c r="J34" s="13" t="s">
        <v>4002</v>
      </c>
      <c r="K34" s="13" t="s">
        <v>4003</v>
      </c>
      <c r="L34" s="14" t="s">
        <v>3298</v>
      </c>
      <c r="M34" s="14" t="s">
        <v>41</v>
      </c>
      <c r="N34" s="14"/>
      <c r="O34" s="14" t="s">
        <v>3298</v>
      </c>
      <c r="P34" s="14" t="s">
        <v>41</v>
      </c>
      <c r="Q34" s="14"/>
      <c r="R34" s="14" t="s">
        <v>3844</v>
      </c>
    </row>
    <row r="35" customFormat="false" ht="23.85" hidden="false" customHeight="false" outlineLevel="0" collapsed="false">
      <c r="A35" s="12" t="s">
        <v>4004</v>
      </c>
      <c r="B35" s="12" t="s">
        <v>47</v>
      </c>
      <c r="C35" s="12" t="s">
        <v>142</v>
      </c>
      <c r="D35" s="13" t="s">
        <v>4005</v>
      </c>
      <c r="E35" s="13" t="s">
        <v>4006</v>
      </c>
      <c r="F35" s="13" t="s">
        <v>4007</v>
      </c>
      <c r="G35" s="13" t="s">
        <v>144</v>
      </c>
      <c r="H35" s="13" t="s">
        <v>3294</v>
      </c>
      <c r="I35" s="13" t="s">
        <v>3295</v>
      </c>
      <c r="J35" s="13" t="s">
        <v>4008</v>
      </c>
      <c r="K35" s="13" t="s">
        <v>4009</v>
      </c>
      <c r="L35" s="14" t="s">
        <v>3298</v>
      </c>
      <c r="M35" s="14" t="s">
        <v>41</v>
      </c>
      <c r="N35" s="14"/>
      <c r="O35" s="14" t="s">
        <v>3298</v>
      </c>
      <c r="P35" s="14" t="s">
        <v>41</v>
      </c>
      <c r="Q35" s="14"/>
      <c r="R35" s="14" t="s">
        <v>3844</v>
      </c>
    </row>
    <row r="36" customFormat="false" ht="23.85" hidden="false" customHeight="false" outlineLevel="0" collapsed="false">
      <c r="A36" s="12" t="s">
        <v>4010</v>
      </c>
      <c r="B36" s="12" t="s">
        <v>47</v>
      </c>
      <c r="C36" s="12" t="s">
        <v>142</v>
      </c>
      <c r="D36" s="13" t="s">
        <v>4011</v>
      </c>
      <c r="E36" s="13" t="s">
        <v>4012</v>
      </c>
      <c r="F36" s="13" t="s">
        <v>4013</v>
      </c>
      <c r="G36" s="13" t="s">
        <v>178</v>
      </c>
      <c r="H36" s="13" t="s">
        <v>591</v>
      </c>
      <c r="I36" s="13" t="s">
        <v>1460</v>
      </c>
      <c r="J36" s="13"/>
      <c r="K36" s="13" t="s">
        <v>4014</v>
      </c>
      <c r="L36" s="14" t="s">
        <v>2364</v>
      </c>
      <c r="M36" s="14" t="s">
        <v>41</v>
      </c>
      <c r="N36" s="14"/>
      <c r="O36" s="14" t="s">
        <v>2364</v>
      </c>
      <c r="P36" s="14" t="s">
        <v>41</v>
      </c>
      <c r="Q36" s="14"/>
      <c r="R36" s="14" t="s">
        <v>3844</v>
      </c>
    </row>
    <row r="37" customFormat="false" ht="23.85" hidden="false" customHeight="false" outlineLevel="0" collapsed="false">
      <c r="A37" s="12" t="s">
        <v>4015</v>
      </c>
      <c r="B37" s="12" t="s">
        <v>47</v>
      </c>
      <c r="C37" s="12" t="s">
        <v>142</v>
      </c>
      <c r="D37" s="13" t="s">
        <v>4016</v>
      </c>
      <c r="E37" s="13" t="s">
        <v>4017</v>
      </c>
      <c r="F37" s="13" t="s">
        <v>4018</v>
      </c>
      <c r="G37" s="13" t="s">
        <v>144</v>
      </c>
      <c r="H37" s="13" t="s">
        <v>3294</v>
      </c>
      <c r="I37" s="13" t="s">
        <v>3295</v>
      </c>
      <c r="J37" s="13" t="s">
        <v>3842</v>
      </c>
      <c r="K37" s="13" t="s">
        <v>4019</v>
      </c>
      <c r="L37" s="14" t="s">
        <v>4020</v>
      </c>
      <c r="M37" s="14" t="s">
        <v>41</v>
      </c>
      <c r="N37" s="14"/>
      <c r="O37" s="14"/>
      <c r="P37" s="14" t="s">
        <v>44</v>
      </c>
      <c r="Q37" s="14" t="s">
        <v>3919</v>
      </c>
      <c r="R37" s="14" t="s">
        <v>3844</v>
      </c>
    </row>
    <row r="38" customFormat="false" ht="15" hidden="false" customHeight="false" outlineLevel="0" collapsed="false">
      <c r="A38" s="12" t="s">
        <v>4015</v>
      </c>
      <c r="B38" s="12" t="s">
        <v>47</v>
      </c>
      <c r="C38" s="12" t="s">
        <v>1396</v>
      </c>
      <c r="D38" s="13" t="s">
        <v>4016</v>
      </c>
      <c r="E38" s="13" t="s">
        <v>4017</v>
      </c>
      <c r="F38" s="13" t="s">
        <v>4018</v>
      </c>
      <c r="G38" s="13" t="s">
        <v>144</v>
      </c>
      <c r="H38" s="13"/>
      <c r="I38" s="13" t="s">
        <v>387</v>
      </c>
      <c r="J38" s="13"/>
      <c r="K38" s="13" t="s">
        <v>4019</v>
      </c>
      <c r="L38" s="14"/>
      <c r="M38" s="14"/>
      <c r="N38" s="14"/>
      <c r="O38" s="14"/>
      <c r="P38" s="14" t="s">
        <v>43</v>
      </c>
      <c r="Q38" s="14" t="s">
        <v>4021</v>
      </c>
      <c r="R38" s="14" t="s">
        <v>3844</v>
      </c>
    </row>
    <row r="39" customFormat="false" ht="23.85" hidden="false" customHeight="false" outlineLevel="0" collapsed="false">
      <c r="A39" s="12" t="s">
        <v>4022</v>
      </c>
      <c r="B39" s="12" t="s">
        <v>47</v>
      </c>
      <c r="C39" s="12" t="s">
        <v>142</v>
      </c>
      <c r="D39" s="13" t="s">
        <v>4023</v>
      </c>
      <c r="E39" s="13" t="s">
        <v>4024</v>
      </c>
      <c r="F39" s="13" t="s">
        <v>4025</v>
      </c>
      <c r="G39" s="13" t="s">
        <v>178</v>
      </c>
      <c r="H39" s="13" t="s">
        <v>591</v>
      </c>
      <c r="I39" s="13" t="s">
        <v>1460</v>
      </c>
      <c r="J39" s="13"/>
      <c r="K39" s="13" t="s">
        <v>4026</v>
      </c>
      <c r="L39" s="14" t="s">
        <v>1471</v>
      </c>
      <c r="M39" s="14" t="s">
        <v>41</v>
      </c>
      <c r="N39" s="14"/>
      <c r="O39" s="14" t="s">
        <v>1471</v>
      </c>
      <c r="P39" s="14" t="s">
        <v>41</v>
      </c>
      <c r="Q39" s="14"/>
      <c r="R39" s="14" t="s">
        <v>3844</v>
      </c>
    </row>
    <row r="40" customFormat="false" ht="23.85" hidden="false" customHeight="false" outlineLevel="0" collapsed="false">
      <c r="A40" s="12" t="s">
        <v>4027</v>
      </c>
      <c r="B40" s="12" t="s">
        <v>47</v>
      </c>
      <c r="C40" s="12" t="s">
        <v>142</v>
      </c>
      <c r="D40" s="13" t="s">
        <v>4028</v>
      </c>
      <c r="E40" s="13" t="s">
        <v>4029</v>
      </c>
      <c r="F40" s="13" t="s">
        <v>4030</v>
      </c>
      <c r="G40" s="13" t="s">
        <v>144</v>
      </c>
      <c r="H40" s="13" t="s">
        <v>3294</v>
      </c>
      <c r="I40" s="13" t="s">
        <v>3849</v>
      </c>
      <c r="J40" s="13" t="s">
        <v>3963</v>
      </c>
      <c r="K40" s="13" t="s">
        <v>4031</v>
      </c>
      <c r="L40" s="14" t="s">
        <v>3892</v>
      </c>
      <c r="M40" s="14" t="s">
        <v>41</v>
      </c>
      <c r="N40" s="14"/>
      <c r="O40" s="14" t="s">
        <v>3892</v>
      </c>
      <c r="P40" s="14" t="s">
        <v>41</v>
      </c>
      <c r="Q40" s="14"/>
      <c r="R40" s="14" t="s">
        <v>3844</v>
      </c>
    </row>
    <row r="41" customFormat="false" ht="23.85" hidden="false" customHeight="false" outlineLevel="0" collapsed="false">
      <c r="A41" s="12" t="s">
        <v>4032</v>
      </c>
      <c r="B41" s="12" t="s">
        <v>47</v>
      </c>
      <c r="C41" s="12" t="s">
        <v>142</v>
      </c>
      <c r="D41" s="13" t="s">
        <v>4033</v>
      </c>
      <c r="E41" s="13" t="s">
        <v>4034</v>
      </c>
      <c r="F41" s="13" t="s">
        <v>4035</v>
      </c>
      <c r="G41" s="13" t="s">
        <v>178</v>
      </c>
      <c r="H41" s="13" t="s">
        <v>591</v>
      </c>
      <c r="I41" s="13" t="s">
        <v>1460</v>
      </c>
      <c r="J41" s="13"/>
      <c r="K41" s="13" t="s">
        <v>4036</v>
      </c>
      <c r="L41" s="14" t="s">
        <v>1471</v>
      </c>
      <c r="M41" s="14" t="s">
        <v>41</v>
      </c>
      <c r="N41" s="14"/>
      <c r="O41" s="14" t="s">
        <v>1471</v>
      </c>
      <c r="P41" s="14" t="s">
        <v>41</v>
      </c>
      <c r="Q41" s="14"/>
      <c r="R41" s="14" t="s">
        <v>3844</v>
      </c>
    </row>
    <row r="42" customFormat="false" ht="35.05" hidden="false" customHeight="false" outlineLevel="0" collapsed="false">
      <c r="A42" s="12" t="s">
        <v>4037</v>
      </c>
      <c r="B42" s="12" t="s">
        <v>48</v>
      </c>
      <c r="C42" s="12" t="s">
        <v>142</v>
      </c>
      <c r="D42" s="13" t="s">
        <v>4038</v>
      </c>
      <c r="E42" s="13" t="s">
        <v>4039</v>
      </c>
      <c r="F42" s="13" t="s">
        <v>4040</v>
      </c>
      <c r="G42" s="13" t="s">
        <v>144</v>
      </c>
      <c r="H42" s="13"/>
      <c r="I42" s="13" t="s">
        <v>1701</v>
      </c>
      <c r="J42" s="13" t="s">
        <v>4041</v>
      </c>
      <c r="K42" s="13" t="s">
        <v>4042</v>
      </c>
      <c r="L42" s="14" t="s">
        <v>1768</v>
      </c>
      <c r="M42" s="14" t="s">
        <v>44</v>
      </c>
      <c r="N42" s="14" t="s">
        <v>501</v>
      </c>
      <c r="O42" s="14" t="s">
        <v>4043</v>
      </c>
      <c r="P42" s="14" t="s">
        <v>41</v>
      </c>
      <c r="Q42" s="14"/>
      <c r="R42" s="14" t="s">
        <v>3844</v>
      </c>
    </row>
    <row r="43" customFormat="false" ht="23.85" hidden="false" customHeight="false" outlineLevel="0" collapsed="false">
      <c r="A43" s="12" t="s">
        <v>4044</v>
      </c>
      <c r="B43" s="12" t="s">
        <v>48</v>
      </c>
      <c r="C43" s="12" t="s">
        <v>142</v>
      </c>
      <c r="D43" s="13" t="s">
        <v>4045</v>
      </c>
      <c r="E43" s="13" t="s">
        <v>4046</v>
      </c>
      <c r="F43" s="13" t="s">
        <v>4047</v>
      </c>
      <c r="G43" s="13" t="s">
        <v>144</v>
      </c>
      <c r="H43" s="13"/>
      <c r="I43" s="13" t="s">
        <v>1689</v>
      </c>
      <c r="J43" s="13" t="s">
        <v>4048</v>
      </c>
      <c r="K43" s="13" t="s">
        <v>4049</v>
      </c>
      <c r="L43" s="14" t="s">
        <v>1693</v>
      </c>
      <c r="M43" s="14" t="s">
        <v>43</v>
      </c>
      <c r="N43" s="14" t="s">
        <v>4050</v>
      </c>
      <c r="O43" s="14" t="s">
        <v>1693</v>
      </c>
      <c r="P43" s="14" t="s">
        <v>41</v>
      </c>
      <c r="Q43" s="14"/>
      <c r="R43" s="14" t="s">
        <v>3844</v>
      </c>
    </row>
    <row r="44" customFormat="false" ht="35.05" hidden="false" customHeight="false" outlineLevel="0" collapsed="false">
      <c r="A44" s="12" t="s">
        <v>4051</v>
      </c>
      <c r="B44" s="12" t="s">
        <v>48</v>
      </c>
      <c r="C44" s="12" t="s">
        <v>142</v>
      </c>
      <c r="D44" s="13" t="s">
        <v>4052</v>
      </c>
      <c r="E44" s="13" t="s">
        <v>4053</v>
      </c>
      <c r="F44" s="13" t="s">
        <v>4054</v>
      </c>
      <c r="G44" s="13" t="s">
        <v>144</v>
      </c>
      <c r="H44" s="13" t="s">
        <v>95</v>
      </c>
      <c r="I44" s="13" t="s">
        <v>1647</v>
      </c>
      <c r="J44" s="13" t="s">
        <v>4055</v>
      </c>
      <c r="K44" s="13" t="s">
        <v>4056</v>
      </c>
      <c r="L44" s="14" t="s">
        <v>4057</v>
      </c>
      <c r="M44" s="14" t="s">
        <v>41</v>
      </c>
      <c r="N44" s="14"/>
      <c r="O44" s="14" t="s">
        <v>4057</v>
      </c>
      <c r="P44" s="14" t="s">
        <v>41</v>
      </c>
      <c r="Q44" s="14"/>
      <c r="R44" s="14" t="s">
        <v>3844</v>
      </c>
    </row>
    <row r="45" customFormat="false" ht="35.05" hidden="false" customHeight="false" outlineLevel="0" collapsed="false">
      <c r="A45" s="12" t="s">
        <v>4058</v>
      </c>
      <c r="B45" s="12" t="s">
        <v>48</v>
      </c>
      <c r="C45" s="12" t="s">
        <v>142</v>
      </c>
      <c r="D45" s="13" t="s">
        <v>4059</v>
      </c>
      <c r="E45" s="13" t="s">
        <v>4060</v>
      </c>
      <c r="F45" s="13" t="s">
        <v>4061</v>
      </c>
      <c r="G45" s="13" t="s">
        <v>144</v>
      </c>
      <c r="H45" s="13" t="s">
        <v>93</v>
      </c>
      <c r="I45" s="13" t="s">
        <v>1264</v>
      </c>
      <c r="J45" s="13" t="s">
        <v>4062</v>
      </c>
      <c r="K45" s="13" t="s">
        <v>3741</v>
      </c>
      <c r="L45" s="14" t="s">
        <v>4063</v>
      </c>
      <c r="M45" s="14" t="s">
        <v>41</v>
      </c>
      <c r="N45" s="14"/>
      <c r="O45" s="14" t="s">
        <v>4063</v>
      </c>
      <c r="P45" s="14" t="s">
        <v>41</v>
      </c>
      <c r="Q45" s="14"/>
      <c r="R45" s="14" t="s">
        <v>3844</v>
      </c>
    </row>
    <row r="46" customFormat="false" ht="23.85" hidden="false" customHeight="false" outlineLevel="0" collapsed="false">
      <c r="A46" s="12" t="s">
        <v>4064</v>
      </c>
      <c r="B46" s="12" t="s">
        <v>48</v>
      </c>
      <c r="C46" s="12" t="s">
        <v>142</v>
      </c>
      <c r="D46" s="13" t="s">
        <v>4065</v>
      </c>
      <c r="E46" s="13" t="s">
        <v>4066</v>
      </c>
      <c r="F46" s="13" t="s">
        <v>4067</v>
      </c>
      <c r="G46" s="13" t="s">
        <v>144</v>
      </c>
      <c r="H46" s="13"/>
      <c r="I46" s="13" t="s">
        <v>1636</v>
      </c>
      <c r="J46" s="13" t="s">
        <v>4068</v>
      </c>
      <c r="K46" s="13" t="s">
        <v>99</v>
      </c>
      <c r="L46" s="14" t="s">
        <v>4069</v>
      </c>
      <c r="M46" s="14" t="s">
        <v>41</v>
      </c>
      <c r="N46" s="14"/>
      <c r="O46" s="14" t="s">
        <v>4069</v>
      </c>
      <c r="P46" s="14" t="s">
        <v>41</v>
      </c>
      <c r="Q46" s="14"/>
      <c r="R46" s="14" t="s">
        <v>3844</v>
      </c>
    </row>
    <row r="47" customFormat="false" ht="23.85" hidden="false" customHeight="false" outlineLevel="0" collapsed="false">
      <c r="A47" s="12" t="s">
        <v>4064</v>
      </c>
      <c r="B47" s="12" t="s">
        <v>48</v>
      </c>
      <c r="C47" s="12" t="s">
        <v>164</v>
      </c>
      <c r="D47" s="13" t="s">
        <v>4065</v>
      </c>
      <c r="E47" s="13" t="s">
        <v>4066</v>
      </c>
      <c r="F47" s="13" t="s">
        <v>4067</v>
      </c>
      <c r="G47" s="13" t="s">
        <v>144</v>
      </c>
      <c r="H47" s="13"/>
      <c r="I47" s="13" t="s">
        <v>1681</v>
      </c>
      <c r="J47" s="13" t="s">
        <v>3353</v>
      </c>
      <c r="K47" s="13" t="s">
        <v>99</v>
      </c>
      <c r="L47" s="14" t="s">
        <v>4070</v>
      </c>
      <c r="M47" s="14" t="s">
        <v>41</v>
      </c>
      <c r="N47" s="14"/>
      <c r="O47" s="14" t="s">
        <v>4071</v>
      </c>
      <c r="P47" s="14" t="s">
        <v>41</v>
      </c>
      <c r="Q47" s="14"/>
      <c r="R47" s="14" t="s">
        <v>3844</v>
      </c>
    </row>
    <row r="48" customFormat="false" ht="35.05" hidden="false" customHeight="false" outlineLevel="0" collapsed="false">
      <c r="A48" s="12" t="s">
        <v>4072</v>
      </c>
      <c r="B48" s="12" t="s">
        <v>48</v>
      </c>
      <c r="C48" s="12" t="s">
        <v>142</v>
      </c>
      <c r="D48" s="13" t="s">
        <v>4073</v>
      </c>
      <c r="E48" s="13" t="s">
        <v>4074</v>
      </c>
      <c r="F48" s="13" t="s">
        <v>4075</v>
      </c>
      <c r="G48" s="13" t="s">
        <v>144</v>
      </c>
      <c r="H48" s="13" t="s">
        <v>93</v>
      </c>
      <c r="I48" s="13" t="s">
        <v>1274</v>
      </c>
      <c r="J48" s="13" t="s">
        <v>1657</v>
      </c>
      <c r="K48" s="13" t="s">
        <v>4076</v>
      </c>
      <c r="L48" s="14" t="s">
        <v>2064</v>
      </c>
      <c r="M48" s="14" t="s">
        <v>44</v>
      </c>
      <c r="N48" s="14" t="s">
        <v>710</v>
      </c>
      <c r="O48" s="14" t="s">
        <v>4077</v>
      </c>
      <c r="P48" s="14" t="s">
        <v>41</v>
      </c>
      <c r="Q48" s="14"/>
      <c r="R48" s="14" t="s">
        <v>3844</v>
      </c>
    </row>
    <row r="49" customFormat="false" ht="57.45" hidden="false" customHeight="false" outlineLevel="0" collapsed="false">
      <c r="A49" s="12" t="s">
        <v>4078</v>
      </c>
      <c r="B49" s="12" t="s">
        <v>48</v>
      </c>
      <c r="C49" s="12" t="s">
        <v>142</v>
      </c>
      <c r="D49" s="13" t="s">
        <v>4079</v>
      </c>
      <c r="E49" s="13" t="s">
        <v>4080</v>
      </c>
      <c r="F49" s="13" t="s">
        <v>4081</v>
      </c>
      <c r="G49" s="13" t="s">
        <v>144</v>
      </c>
      <c r="H49" s="13" t="s">
        <v>95</v>
      </c>
      <c r="I49" s="13" t="s">
        <v>1647</v>
      </c>
      <c r="J49" s="13" t="s">
        <v>4082</v>
      </c>
      <c r="K49" s="13" t="s">
        <v>4083</v>
      </c>
      <c r="L49" s="14" t="s">
        <v>4084</v>
      </c>
      <c r="M49" s="14" t="s">
        <v>41</v>
      </c>
      <c r="N49" s="14"/>
      <c r="O49" s="14" t="s">
        <v>4085</v>
      </c>
      <c r="P49" s="14" t="s">
        <v>41</v>
      </c>
      <c r="Q49" s="14"/>
      <c r="R49" s="14" t="s">
        <v>3844</v>
      </c>
    </row>
    <row r="50" customFormat="false" ht="35.05" hidden="false" customHeight="false" outlineLevel="0" collapsed="false">
      <c r="A50" s="12" t="s">
        <v>4086</v>
      </c>
      <c r="B50" s="12" t="s">
        <v>48</v>
      </c>
      <c r="C50" s="12" t="s">
        <v>142</v>
      </c>
      <c r="D50" s="13" t="s">
        <v>4087</v>
      </c>
      <c r="E50" s="13" t="s">
        <v>4088</v>
      </c>
      <c r="F50" s="13" t="s">
        <v>4089</v>
      </c>
      <c r="G50" s="13" t="s">
        <v>144</v>
      </c>
      <c r="H50" s="13"/>
      <c r="I50" s="13" t="s">
        <v>1636</v>
      </c>
      <c r="J50" s="13" t="s">
        <v>4090</v>
      </c>
      <c r="K50" s="13" t="s">
        <v>99</v>
      </c>
      <c r="L50" s="14" t="s">
        <v>4091</v>
      </c>
      <c r="M50" s="14" t="s">
        <v>41</v>
      </c>
      <c r="N50" s="14"/>
      <c r="O50" s="14" t="s">
        <v>4091</v>
      </c>
      <c r="P50" s="14" t="s">
        <v>41</v>
      </c>
      <c r="Q50" s="14"/>
      <c r="R50" s="14" t="s">
        <v>3844</v>
      </c>
    </row>
    <row r="51" customFormat="false" ht="23.85" hidden="false" customHeight="false" outlineLevel="0" collapsed="false">
      <c r="A51" s="12" t="s">
        <v>4086</v>
      </c>
      <c r="B51" s="12" t="s">
        <v>48</v>
      </c>
      <c r="C51" s="12" t="s">
        <v>164</v>
      </c>
      <c r="D51" s="13" t="s">
        <v>4087</v>
      </c>
      <c r="E51" s="13" t="s">
        <v>4088</v>
      </c>
      <c r="F51" s="13" t="s">
        <v>4089</v>
      </c>
      <c r="G51" s="13" t="s">
        <v>144</v>
      </c>
      <c r="H51" s="13"/>
      <c r="I51" s="13" t="s">
        <v>1681</v>
      </c>
      <c r="J51" s="13" t="s">
        <v>2774</v>
      </c>
      <c r="K51" s="13" t="s">
        <v>99</v>
      </c>
      <c r="L51" s="14" t="s">
        <v>4092</v>
      </c>
      <c r="M51" s="14" t="s">
        <v>41</v>
      </c>
      <c r="N51" s="14"/>
      <c r="O51" s="14" t="s">
        <v>4092</v>
      </c>
      <c r="P51" s="14" t="s">
        <v>41</v>
      </c>
      <c r="Q51" s="14"/>
      <c r="R51" s="14" t="s">
        <v>3844</v>
      </c>
    </row>
    <row r="52" customFormat="false" ht="35.05" hidden="false" customHeight="false" outlineLevel="0" collapsed="false">
      <c r="A52" s="12" t="s">
        <v>4093</v>
      </c>
      <c r="B52" s="12" t="s">
        <v>48</v>
      </c>
      <c r="C52" s="12" t="s">
        <v>142</v>
      </c>
      <c r="D52" s="13" t="s">
        <v>4094</v>
      </c>
      <c r="E52" s="13" t="s">
        <v>4095</v>
      </c>
      <c r="F52" s="13" t="s">
        <v>4096</v>
      </c>
      <c r="G52" s="13" t="s">
        <v>144</v>
      </c>
      <c r="H52" s="13"/>
      <c r="I52" s="13" t="s">
        <v>1701</v>
      </c>
      <c r="J52" s="13" t="s">
        <v>4097</v>
      </c>
      <c r="K52" s="13" t="s">
        <v>4098</v>
      </c>
      <c r="L52" s="14" t="s">
        <v>4099</v>
      </c>
      <c r="M52" s="14" t="s">
        <v>43</v>
      </c>
      <c r="N52" s="14" t="s">
        <v>4100</v>
      </c>
      <c r="O52" s="14" t="s">
        <v>4099</v>
      </c>
      <c r="P52" s="14" t="s">
        <v>41</v>
      </c>
      <c r="Q52" s="14"/>
      <c r="R52" s="14" t="s">
        <v>3844</v>
      </c>
    </row>
    <row r="53" customFormat="false" ht="23.85" hidden="false" customHeight="false" outlineLevel="0" collapsed="false">
      <c r="A53" s="12" t="s">
        <v>4093</v>
      </c>
      <c r="B53" s="12" t="s">
        <v>48</v>
      </c>
      <c r="C53" s="12" t="s">
        <v>1396</v>
      </c>
      <c r="D53" s="13" t="s">
        <v>4094</v>
      </c>
      <c r="E53" s="13" t="s">
        <v>4095</v>
      </c>
      <c r="F53" s="13" t="s">
        <v>4096</v>
      </c>
      <c r="G53" s="13" t="s">
        <v>144</v>
      </c>
      <c r="H53" s="13"/>
      <c r="I53" s="13" t="s">
        <v>387</v>
      </c>
      <c r="J53" s="13"/>
      <c r="K53" s="13" t="s">
        <v>4098</v>
      </c>
      <c r="L53" s="14"/>
      <c r="M53" s="14" t="s">
        <v>43</v>
      </c>
      <c r="N53" s="14" t="s">
        <v>1571</v>
      </c>
      <c r="O53" s="14"/>
      <c r="P53" s="14"/>
      <c r="Q53" s="14"/>
      <c r="R53" s="14"/>
    </row>
    <row r="54" customFormat="false" ht="35.05" hidden="false" customHeight="false" outlineLevel="0" collapsed="false">
      <c r="A54" s="12" t="s">
        <v>4101</v>
      </c>
      <c r="B54" s="12" t="s">
        <v>48</v>
      </c>
      <c r="C54" s="12" t="s">
        <v>142</v>
      </c>
      <c r="D54" s="13" t="s">
        <v>4102</v>
      </c>
      <c r="E54" s="13" t="s">
        <v>4103</v>
      </c>
      <c r="F54" s="13" t="s">
        <v>4104</v>
      </c>
      <c r="G54" s="13" t="s">
        <v>144</v>
      </c>
      <c r="H54" s="13" t="s">
        <v>97</v>
      </c>
      <c r="I54" s="13" t="s">
        <v>1669</v>
      </c>
      <c r="J54" s="13" t="s">
        <v>1670</v>
      </c>
      <c r="K54" s="13" t="s">
        <v>4105</v>
      </c>
      <c r="L54" s="14"/>
      <c r="M54" s="14" t="s">
        <v>44</v>
      </c>
      <c r="N54" s="14" t="s">
        <v>2201</v>
      </c>
      <c r="O54" s="14" t="s">
        <v>4106</v>
      </c>
      <c r="P54" s="14" t="s">
        <v>41</v>
      </c>
      <c r="Q54" s="14"/>
      <c r="R54" s="14" t="s">
        <v>3844</v>
      </c>
    </row>
    <row r="55" customFormat="false" ht="23.85" hidden="false" customHeight="false" outlineLevel="0" collapsed="false">
      <c r="A55" s="12" t="s">
        <v>4101</v>
      </c>
      <c r="B55" s="12" t="s">
        <v>48</v>
      </c>
      <c r="C55" s="12" t="s">
        <v>1396</v>
      </c>
      <c r="D55" s="13" t="s">
        <v>4102</v>
      </c>
      <c r="E55" s="13" t="s">
        <v>4103</v>
      </c>
      <c r="F55" s="13" t="s">
        <v>4104</v>
      </c>
      <c r="G55" s="13" t="s">
        <v>144</v>
      </c>
      <c r="H55" s="13"/>
      <c r="I55" s="13" t="s">
        <v>387</v>
      </c>
      <c r="J55" s="13"/>
      <c r="K55" s="13" t="s">
        <v>4105</v>
      </c>
      <c r="L55" s="14"/>
      <c r="M55" s="14" t="s">
        <v>43</v>
      </c>
      <c r="N55" s="14" t="s">
        <v>4107</v>
      </c>
      <c r="O55" s="14"/>
      <c r="P55" s="14"/>
      <c r="Q55" s="14"/>
      <c r="R55" s="14"/>
    </row>
    <row r="56" customFormat="false" ht="23.85" hidden="false" customHeight="false" outlineLevel="0" collapsed="false">
      <c r="A56" s="12" t="s">
        <v>4108</v>
      </c>
      <c r="B56" s="12" t="s">
        <v>49</v>
      </c>
      <c r="C56" s="12" t="s">
        <v>142</v>
      </c>
      <c r="D56" s="13" t="s">
        <v>4109</v>
      </c>
      <c r="E56" s="13" t="s">
        <v>4110</v>
      </c>
      <c r="F56" s="13" t="s">
        <v>4111</v>
      </c>
      <c r="G56" s="13" t="s">
        <v>144</v>
      </c>
      <c r="H56" s="13" t="s">
        <v>3294</v>
      </c>
      <c r="I56" s="13" t="s">
        <v>3295</v>
      </c>
      <c r="J56" s="13" t="s">
        <v>3842</v>
      </c>
      <c r="K56" s="13" t="s">
        <v>4112</v>
      </c>
      <c r="L56" s="14" t="s">
        <v>3298</v>
      </c>
      <c r="M56" s="14" t="s">
        <v>41</v>
      </c>
      <c r="N56" s="14"/>
      <c r="O56" s="14" t="s">
        <v>3298</v>
      </c>
      <c r="P56" s="14" t="s">
        <v>41</v>
      </c>
      <c r="Q56" s="14"/>
      <c r="R56" s="14" t="s">
        <v>3844</v>
      </c>
    </row>
    <row r="57" customFormat="false" ht="23.85" hidden="false" customHeight="false" outlineLevel="0" collapsed="false">
      <c r="A57" s="12" t="s">
        <v>4108</v>
      </c>
      <c r="B57" s="12" t="s">
        <v>49</v>
      </c>
      <c r="C57" s="12" t="s">
        <v>164</v>
      </c>
      <c r="D57" s="13" t="s">
        <v>4109</v>
      </c>
      <c r="E57" s="13" t="s">
        <v>4110</v>
      </c>
      <c r="F57" s="13" t="s">
        <v>4111</v>
      </c>
      <c r="G57" s="13" t="s">
        <v>144</v>
      </c>
      <c r="H57" s="13"/>
      <c r="I57" s="13" t="s">
        <v>1689</v>
      </c>
      <c r="J57" s="13" t="s">
        <v>4113</v>
      </c>
      <c r="K57" s="13" t="s">
        <v>4112</v>
      </c>
      <c r="L57" s="14" t="s">
        <v>1693</v>
      </c>
      <c r="M57" s="14" t="s">
        <v>41</v>
      </c>
      <c r="N57" s="14"/>
      <c r="O57" s="14" t="s">
        <v>1693</v>
      </c>
      <c r="P57" s="14" t="s">
        <v>41</v>
      </c>
      <c r="Q57" s="14"/>
      <c r="R57" s="14" t="s">
        <v>3844</v>
      </c>
    </row>
    <row r="58" customFormat="false" ht="23.85" hidden="false" customHeight="false" outlineLevel="0" collapsed="false">
      <c r="A58" s="12" t="s">
        <v>4114</v>
      </c>
      <c r="B58" s="12" t="s">
        <v>49</v>
      </c>
      <c r="C58" s="12" t="s">
        <v>142</v>
      </c>
      <c r="D58" s="13" t="s">
        <v>4115</v>
      </c>
      <c r="E58" s="13" t="s">
        <v>4116</v>
      </c>
      <c r="F58" s="13" t="s">
        <v>4117</v>
      </c>
      <c r="G58" s="13" t="s">
        <v>144</v>
      </c>
      <c r="H58" s="13" t="s">
        <v>3294</v>
      </c>
      <c r="I58" s="13" t="s">
        <v>3849</v>
      </c>
      <c r="J58" s="13" t="s">
        <v>3963</v>
      </c>
      <c r="K58" s="13" t="s">
        <v>4118</v>
      </c>
      <c r="L58" s="14" t="s">
        <v>3892</v>
      </c>
      <c r="M58" s="14" t="s">
        <v>41</v>
      </c>
      <c r="N58" s="14"/>
      <c r="O58" s="14" t="s">
        <v>3892</v>
      </c>
      <c r="P58" s="14" t="s">
        <v>41</v>
      </c>
      <c r="Q58" s="14"/>
      <c r="R58" s="14" t="s">
        <v>3844</v>
      </c>
    </row>
    <row r="59" customFormat="false" ht="35.05" hidden="false" customHeight="false" outlineLevel="0" collapsed="false">
      <c r="A59" s="12" t="s">
        <v>4114</v>
      </c>
      <c r="B59" s="12" t="s">
        <v>49</v>
      </c>
      <c r="C59" s="12" t="s">
        <v>164</v>
      </c>
      <c r="D59" s="13" t="s">
        <v>4115</v>
      </c>
      <c r="E59" s="13" t="s">
        <v>4116</v>
      </c>
      <c r="F59" s="13" t="s">
        <v>4117</v>
      </c>
      <c r="G59" s="13" t="s">
        <v>144</v>
      </c>
      <c r="H59" s="13" t="s">
        <v>93</v>
      </c>
      <c r="I59" s="13" t="s">
        <v>1264</v>
      </c>
      <c r="J59" s="13" t="s">
        <v>1418</v>
      </c>
      <c r="K59" s="13" t="s">
        <v>4118</v>
      </c>
      <c r="L59" s="14" t="s">
        <v>4119</v>
      </c>
      <c r="M59" s="14" t="s">
        <v>41</v>
      </c>
      <c r="N59" s="14"/>
      <c r="O59" s="14" t="s">
        <v>4119</v>
      </c>
      <c r="P59" s="14" t="s">
        <v>41</v>
      </c>
      <c r="Q59" s="14"/>
      <c r="R59" s="14" t="s">
        <v>3844</v>
      </c>
    </row>
    <row r="60" customFormat="false" ht="23.85" hidden="false" customHeight="false" outlineLevel="0" collapsed="false">
      <c r="A60" s="12" t="s">
        <v>4120</v>
      </c>
      <c r="B60" s="12" t="s">
        <v>49</v>
      </c>
      <c r="C60" s="12" t="s">
        <v>142</v>
      </c>
      <c r="D60" s="13" t="s">
        <v>4121</v>
      </c>
      <c r="E60" s="13" t="s">
        <v>4122</v>
      </c>
      <c r="F60" s="13" t="s">
        <v>4123</v>
      </c>
      <c r="G60" s="13" t="s">
        <v>144</v>
      </c>
      <c r="H60" s="13" t="s">
        <v>3294</v>
      </c>
      <c r="I60" s="13" t="s">
        <v>3295</v>
      </c>
      <c r="J60" s="13" t="s">
        <v>3871</v>
      </c>
      <c r="K60" s="13" t="s">
        <v>4124</v>
      </c>
      <c r="L60" s="14" t="s">
        <v>4125</v>
      </c>
      <c r="M60" s="14" t="s">
        <v>41</v>
      </c>
      <c r="N60" s="14"/>
      <c r="O60" s="14" t="s">
        <v>4126</v>
      </c>
      <c r="P60" s="14" t="s">
        <v>41</v>
      </c>
      <c r="Q60" s="14"/>
      <c r="R60" s="14" t="s">
        <v>3844</v>
      </c>
    </row>
    <row r="61" customFormat="false" ht="23.85" hidden="false" customHeight="false" outlineLevel="0" collapsed="false">
      <c r="A61" s="12" t="s">
        <v>4120</v>
      </c>
      <c r="B61" s="12" t="s">
        <v>49</v>
      </c>
      <c r="C61" s="12" t="s">
        <v>164</v>
      </c>
      <c r="D61" s="13" t="s">
        <v>4121</v>
      </c>
      <c r="E61" s="13" t="s">
        <v>4122</v>
      </c>
      <c r="F61" s="13" t="s">
        <v>4123</v>
      </c>
      <c r="G61" s="13" t="s">
        <v>144</v>
      </c>
      <c r="H61" s="13" t="s">
        <v>3294</v>
      </c>
      <c r="I61" s="13" t="s">
        <v>3849</v>
      </c>
      <c r="J61" s="13" t="s">
        <v>3876</v>
      </c>
      <c r="K61" s="13" t="s">
        <v>4124</v>
      </c>
      <c r="L61" s="14" t="s">
        <v>4127</v>
      </c>
      <c r="M61" s="14" t="s">
        <v>41</v>
      </c>
      <c r="N61" s="14"/>
      <c r="O61" s="14" t="s">
        <v>4128</v>
      </c>
      <c r="P61" s="14" t="s">
        <v>41</v>
      </c>
      <c r="Q61" s="14"/>
      <c r="R61" s="14" t="s">
        <v>3844</v>
      </c>
    </row>
    <row r="62" customFormat="false" ht="35.05" hidden="false" customHeight="false" outlineLevel="0" collapsed="false">
      <c r="A62" s="12" t="s">
        <v>4120</v>
      </c>
      <c r="B62" s="12" t="s">
        <v>49</v>
      </c>
      <c r="C62" s="12" t="s">
        <v>386</v>
      </c>
      <c r="D62" s="13" t="s">
        <v>4121</v>
      </c>
      <c r="E62" s="13" t="s">
        <v>4122</v>
      </c>
      <c r="F62" s="13" t="s">
        <v>4123</v>
      </c>
      <c r="G62" s="13" t="s">
        <v>144</v>
      </c>
      <c r="H62" s="13"/>
      <c r="I62" s="13" t="s">
        <v>1636</v>
      </c>
      <c r="J62" s="13" t="s">
        <v>4129</v>
      </c>
      <c r="K62" s="13" t="s">
        <v>4124</v>
      </c>
      <c r="L62" s="14" t="s">
        <v>4130</v>
      </c>
      <c r="M62" s="14" t="s">
        <v>41</v>
      </c>
      <c r="N62" s="14"/>
      <c r="O62" s="14"/>
      <c r="P62" s="14" t="s">
        <v>44</v>
      </c>
      <c r="Q62" s="14"/>
      <c r="R62" s="14" t="s">
        <v>3844</v>
      </c>
    </row>
    <row r="63" customFormat="false" ht="23.85" hidden="false" customHeight="false" outlineLevel="0" collapsed="false">
      <c r="A63" s="12" t="s">
        <v>4120</v>
      </c>
      <c r="B63" s="12" t="s">
        <v>49</v>
      </c>
      <c r="C63" s="12" t="s">
        <v>409</v>
      </c>
      <c r="D63" s="13" t="s">
        <v>4121</v>
      </c>
      <c r="E63" s="13" t="s">
        <v>4122</v>
      </c>
      <c r="F63" s="13" t="s">
        <v>4123</v>
      </c>
      <c r="G63" s="13" t="s">
        <v>144</v>
      </c>
      <c r="H63" s="13"/>
      <c r="I63" s="13" t="s">
        <v>1681</v>
      </c>
      <c r="J63" s="13" t="s">
        <v>3701</v>
      </c>
      <c r="K63" s="13" t="s">
        <v>4124</v>
      </c>
      <c r="L63" s="14" t="s">
        <v>3702</v>
      </c>
      <c r="M63" s="14" t="s">
        <v>41</v>
      </c>
      <c r="N63" s="14"/>
      <c r="O63" s="14"/>
      <c r="P63" s="14" t="s">
        <v>44</v>
      </c>
      <c r="Q63" s="14"/>
      <c r="R63" s="14" t="s">
        <v>3844</v>
      </c>
    </row>
    <row r="64" customFormat="false" ht="35.05" hidden="false" customHeight="false" outlineLevel="0" collapsed="false">
      <c r="A64" s="12" t="s">
        <v>4131</v>
      </c>
      <c r="B64" s="12" t="s">
        <v>49</v>
      </c>
      <c r="C64" s="12" t="s">
        <v>142</v>
      </c>
      <c r="D64" s="13" t="s">
        <v>4132</v>
      </c>
      <c r="E64" s="13" t="s">
        <v>4133</v>
      </c>
      <c r="F64" s="13" t="s">
        <v>4134</v>
      </c>
      <c r="G64" s="13" t="s">
        <v>144</v>
      </c>
      <c r="H64" s="13"/>
      <c r="I64" s="13" t="s">
        <v>1701</v>
      </c>
      <c r="J64" s="13" t="s">
        <v>4135</v>
      </c>
      <c r="K64" s="13" t="s">
        <v>4136</v>
      </c>
      <c r="L64" s="14" t="s">
        <v>4137</v>
      </c>
      <c r="M64" s="14" t="s">
        <v>41</v>
      </c>
      <c r="N64" s="14"/>
      <c r="O64" s="14" t="s">
        <v>4137</v>
      </c>
      <c r="P64" s="14" t="s">
        <v>41</v>
      </c>
      <c r="Q64" s="14"/>
      <c r="R64" s="14" t="s">
        <v>3844</v>
      </c>
    </row>
    <row r="65" customFormat="false" ht="23.85" hidden="false" customHeight="false" outlineLevel="0" collapsed="false">
      <c r="A65" s="12" t="s">
        <v>4131</v>
      </c>
      <c r="B65" s="12" t="s">
        <v>49</v>
      </c>
      <c r="C65" s="12" t="s">
        <v>164</v>
      </c>
      <c r="D65" s="13" t="s">
        <v>4132</v>
      </c>
      <c r="E65" s="13" t="s">
        <v>4133</v>
      </c>
      <c r="F65" s="13" t="s">
        <v>4134</v>
      </c>
      <c r="G65" s="13" t="s">
        <v>144</v>
      </c>
      <c r="H65" s="13" t="s">
        <v>3294</v>
      </c>
      <c r="I65" s="13" t="s">
        <v>3849</v>
      </c>
      <c r="J65" s="13" t="s">
        <v>4138</v>
      </c>
      <c r="K65" s="13" t="s">
        <v>4136</v>
      </c>
      <c r="L65" s="14" t="s">
        <v>4139</v>
      </c>
      <c r="M65" s="14" t="s">
        <v>41</v>
      </c>
      <c r="N65" s="14"/>
      <c r="O65" s="14" t="s">
        <v>4139</v>
      </c>
      <c r="P65" s="14" t="s">
        <v>41</v>
      </c>
      <c r="Q65" s="14"/>
      <c r="R65" s="14" t="s">
        <v>3844</v>
      </c>
    </row>
    <row r="66" customFormat="false" ht="23.85" hidden="false" customHeight="false" outlineLevel="0" collapsed="false">
      <c r="A66" s="12" t="s">
        <v>4140</v>
      </c>
      <c r="B66" s="12" t="s">
        <v>49</v>
      </c>
      <c r="C66" s="12" t="s">
        <v>142</v>
      </c>
      <c r="D66" s="13" t="s">
        <v>4141</v>
      </c>
      <c r="E66" s="13" t="s">
        <v>4142</v>
      </c>
      <c r="F66" s="13" t="s">
        <v>4143</v>
      </c>
      <c r="G66" s="13" t="s">
        <v>144</v>
      </c>
      <c r="H66" s="13" t="s">
        <v>3294</v>
      </c>
      <c r="I66" s="13" t="s">
        <v>3295</v>
      </c>
      <c r="J66" s="13" t="s">
        <v>3897</v>
      </c>
      <c r="K66" s="13" t="s">
        <v>4144</v>
      </c>
      <c r="L66" s="14" t="s">
        <v>3298</v>
      </c>
      <c r="M66" s="14" t="s">
        <v>41</v>
      </c>
      <c r="N66" s="14"/>
      <c r="O66" s="14" t="s">
        <v>3298</v>
      </c>
      <c r="P66" s="14" t="s">
        <v>41</v>
      </c>
      <c r="Q66" s="14"/>
      <c r="R66" s="14" t="s">
        <v>3844</v>
      </c>
    </row>
    <row r="67" customFormat="false" ht="35.05" hidden="false" customHeight="false" outlineLevel="0" collapsed="false">
      <c r="A67" s="12" t="s">
        <v>4140</v>
      </c>
      <c r="B67" s="12" t="s">
        <v>49</v>
      </c>
      <c r="C67" s="12" t="s">
        <v>164</v>
      </c>
      <c r="D67" s="13" t="s">
        <v>4141</v>
      </c>
      <c r="E67" s="13" t="s">
        <v>4142</v>
      </c>
      <c r="F67" s="13" t="s">
        <v>4143</v>
      </c>
      <c r="G67" s="13" t="s">
        <v>144</v>
      </c>
      <c r="H67" s="13" t="s">
        <v>1627</v>
      </c>
      <c r="I67" s="13" t="s">
        <v>1628</v>
      </c>
      <c r="J67" s="13" t="s">
        <v>1629</v>
      </c>
      <c r="K67" s="13" t="s">
        <v>4144</v>
      </c>
      <c r="L67" s="14" t="s">
        <v>4145</v>
      </c>
      <c r="M67" s="14" t="s">
        <v>41</v>
      </c>
      <c r="N67" s="14"/>
      <c r="O67" s="14" t="s">
        <v>4145</v>
      </c>
      <c r="P67" s="14" t="s">
        <v>41</v>
      </c>
      <c r="Q67" s="14"/>
      <c r="R67" s="14" t="s">
        <v>3844</v>
      </c>
    </row>
    <row r="68" customFormat="false" ht="35.05" hidden="false" customHeight="false" outlineLevel="0" collapsed="false">
      <c r="A68" s="12" t="s">
        <v>4146</v>
      </c>
      <c r="B68" s="12" t="s">
        <v>49</v>
      </c>
      <c r="C68" s="12" t="s">
        <v>142</v>
      </c>
      <c r="D68" s="13" t="s">
        <v>4147</v>
      </c>
      <c r="E68" s="13" t="s">
        <v>4148</v>
      </c>
      <c r="F68" s="13" t="s">
        <v>4149</v>
      </c>
      <c r="G68" s="13" t="s">
        <v>144</v>
      </c>
      <c r="H68" s="13" t="s">
        <v>3294</v>
      </c>
      <c r="I68" s="13" t="s">
        <v>3295</v>
      </c>
      <c r="J68" s="13" t="s">
        <v>3948</v>
      </c>
      <c r="K68" s="13" t="s">
        <v>4150</v>
      </c>
      <c r="L68" s="14" t="s">
        <v>3298</v>
      </c>
      <c r="M68" s="14" t="s">
        <v>41</v>
      </c>
      <c r="N68" s="14"/>
      <c r="O68" s="14" t="s">
        <v>1768</v>
      </c>
      <c r="P68" s="14" t="s">
        <v>44</v>
      </c>
      <c r="Q68" s="14" t="s">
        <v>3919</v>
      </c>
      <c r="R68" s="14" t="s">
        <v>3844</v>
      </c>
    </row>
    <row r="69" customFormat="false" ht="35.05" hidden="false" customHeight="false" outlineLevel="0" collapsed="false">
      <c r="A69" s="12" t="s">
        <v>4146</v>
      </c>
      <c r="B69" s="12" t="s">
        <v>49</v>
      </c>
      <c r="C69" s="12" t="s">
        <v>164</v>
      </c>
      <c r="D69" s="13" t="s">
        <v>4147</v>
      </c>
      <c r="E69" s="13" t="s">
        <v>4148</v>
      </c>
      <c r="F69" s="13" t="s">
        <v>4149</v>
      </c>
      <c r="G69" s="13" t="s">
        <v>144</v>
      </c>
      <c r="H69" s="13" t="s">
        <v>95</v>
      </c>
      <c r="I69" s="13" t="s">
        <v>1647</v>
      </c>
      <c r="J69" s="13" t="s">
        <v>4151</v>
      </c>
      <c r="K69" s="13" t="s">
        <v>4150</v>
      </c>
      <c r="L69" s="14" t="s">
        <v>4152</v>
      </c>
      <c r="M69" s="14" t="s">
        <v>41</v>
      </c>
      <c r="N69" s="14"/>
      <c r="O69" s="14" t="s">
        <v>4152</v>
      </c>
      <c r="P69" s="14" t="s">
        <v>41</v>
      </c>
      <c r="Q69" s="14"/>
      <c r="R69" s="14" t="s">
        <v>3844</v>
      </c>
    </row>
    <row r="70" customFormat="false" ht="35.05" hidden="false" customHeight="false" outlineLevel="0" collapsed="false">
      <c r="A70" s="12" t="s">
        <v>4146</v>
      </c>
      <c r="B70" s="12" t="s">
        <v>49</v>
      </c>
      <c r="C70" s="12" t="s">
        <v>1396</v>
      </c>
      <c r="D70" s="13" t="s">
        <v>4147</v>
      </c>
      <c r="E70" s="13" t="s">
        <v>4148</v>
      </c>
      <c r="F70" s="13" t="s">
        <v>4149</v>
      </c>
      <c r="G70" s="13" t="s">
        <v>144</v>
      </c>
      <c r="H70" s="13"/>
      <c r="I70" s="13" t="s">
        <v>387</v>
      </c>
      <c r="J70" s="13"/>
      <c r="K70" s="13" t="s">
        <v>4150</v>
      </c>
      <c r="L70" s="14"/>
      <c r="M70" s="14"/>
      <c r="N70" s="14"/>
      <c r="O70" s="14" t="s">
        <v>1768</v>
      </c>
      <c r="P70" s="14" t="s">
        <v>43</v>
      </c>
      <c r="Q70" s="14"/>
      <c r="R70" s="14" t="s">
        <v>3844</v>
      </c>
    </row>
    <row r="71" customFormat="false" ht="35.05" hidden="false" customHeight="false" outlineLevel="0" collapsed="false">
      <c r="A71" s="12" t="s">
        <v>4153</v>
      </c>
      <c r="B71" s="12" t="s">
        <v>49</v>
      </c>
      <c r="C71" s="12" t="s">
        <v>142</v>
      </c>
      <c r="D71" s="13" t="s">
        <v>4154</v>
      </c>
      <c r="E71" s="13" t="s">
        <v>4155</v>
      </c>
      <c r="F71" s="13" t="s">
        <v>4156</v>
      </c>
      <c r="G71" s="13" t="s">
        <v>144</v>
      </c>
      <c r="H71" s="13" t="s">
        <v>3294</v>
      </c>
      <c r="I71" s="13" t="s">
        <v>3849</v>
      </c>
      <c r="J71" s="13" t="s">
        <v>4157</v>
      </c>
      <c r="K71" s="13" t="s">
        <v>4158</v>
      </c>
      <c r="L71" s="14" t="s">
        <v>4159</v>
      </c>
      <c r="M71" s="14" t="s">
        <v>44</v>
      </c>
      <c r="N71" s="14" t="s">
        <v>4160</v>
      </c>
      <c r="O71" s="14" t="s">
        <v>4161</v>
      </c>
      <c r="P71" s="14" t="s">
        <v>41</v>
      </c>
      <c r="Q71" s="14"/>
      <c r="R71" s="14" t="s">
        <v>3844</v>
      </c>
    </row>
    <row r="72" customFormat="false" ht="35.05" hidden="false" customHeight="false" outlineLevel="0" collapsed="false">
      <c r="A72" s="12" t="s">
        <v>4153</v>
      </c>
      <c r="B72" s="12" t="s">
        <v>49</v>
      </c>
      <c r="C72" s="12" t="s">
        <v>164</v>
      </c>
      <c r="D72" s="13" t="s">
        <v>4154</v>
      </c>
      <c r="E72" s="13" t="s">
        <v>4155</v>
      </c>
      <c r="F72" s="13" t="s">
        <v>4156</v>
      </c>
      <c r="G72" s="13" t="s">
        <v>144</v>
      </c>
      <c r="H72" s="13"/>
      <c r="I72" s="13" t="s">
        <v>1701</v>
      </c>
      <c r="J72" s="13" t="s">
        <v>4162</v>
      </c>
      <c r="K72" s="13" t="s">
        <v>4158</v>
      </c>
      <c r="L72" s="14" t="s">
        <v>4159</v>
      </c>
      <c r="M72" s="14" t="s">
        <v>44</v>
      </c>
      <c r="N72" s="14" t="s">
        <v>3661</v>
      </c>
      <c r="O72" s="14" t="s">
        <v>3600</v>
      </c>
      <c r="P72" s="14" t="s">
        <v>41</v>
      </c>
      <c r="Q72" s="14"/>
      <c r="R72" s="14" t="s">
        <v>3844</v>
      </c>
    </row>
    <row r="73" customFormat="false" ht="23.85" hidden="false" customHeight="false" outlineLevel="0" collapsed="false">
      <c r="A73" s="12" t="s">
        <v>4163</v>
      </c>
      <c r="B73" s="12" t="s">
        <v>49</v>
      </c>
      <c r="C73" s="12" t="s">
        <v>142</v>
      </c>
      <c r="D73" s="13" t="s">
        <v>4164</v>
      </c>
      <c r="E73" s="13" t="s">
        <v>4165</v>
      </c>
      <c r="F73" s="13" t="s">
        <v>4166</v>
      </c>
      <c r="G73" s="13" t="s">
        <v>144</v>
      </c>
      <c r="H73" s="13" t="s">
        <v>3294</v>
      </c>
      <c r="I73" s="13" t="s">
        <v>3295</v>
      </c>
      <c r="J73" s="13" t="s">
        <v>3857</v>
      </c>
      <c r="K73" s="13" t="s">
        <v>4167</v>
      </c>
      <c r="L73" s="14"/>
      <c r="M73" s="14" t="s">
        <v>44</v>
      </c>
      <c r="N73" s="14" t="s">
        <v>3919</v>
      </c>
      <c r="O73" s="14" t="s">
        <v>3298</v>
      </c>
      <c r="P73" s="14" t="s">
        <v>41</v>
      </c>
      <c r="Q73" s="14"/>
      <c r="R73" s="14" t="s">
        <v>3844</v>
      </c>
    </row>
    <row r="74" customFormat="false" ht="35.05" hidden="false" customHeight="false" outlineLevel="0" collapsed="false">
      <c r="A74" s="12" t="s">
        <v>4163</v>
      </c>
      <c r="B74" s="12" t="s">
        <v>49</v>
      </c>
      <c r="C74" s="12" t="s">
        <v>164</v>
      </c>
      <c r="D74" s="13" t="s">
        <v>4164</v>
      </c>
      <c r="E74" s="13" t="s">
        <v>4165</v>
      </c>
      <c r="F74" s="13" t="s">
        <v>4166</v>
      </c>
      <c r="G74" s="13" t="s">
        <v>144</v>
      </c>
      <c r="H74" s="13" t="s">
        <v>93</v>
      </c>
      <c r="I74" s="13" t="s">
        <v>1274</v>
      </c>
      <c r="J74" s="13" t="s">
        <v>1275</v>
      </c>
      <c r="K74" s="13" t="s">
        <v>4167</v>
      </c>
      <c r="L74" s="14" t="s">
        <v>4168</v>
      </c>
      <c r="M74" s="14" t="s">
        <v>41</v>
      </c>
      <c r="N74" s="14"/>
      <c r="O74" s="14" t="s">
        <v>4168</v>
      </c>
      <c r="P74" s="14" t="s">
        <v>41</v>
      </c>
      <c r="Q74" s="14"/>
      <c r="R74" s="14" t="s">
        <v>3844</v>
      </c>
    </row>
    <row r="75" customFormat="false" ht="23.85" hidden="false" customHeight="false" outlineLevel="0" collapsed="false">
      <c r="A75" s="12" t="s">
        <v>4163</v>
      </c>
      <c r="B75" s="12" t="s">
        <v>49</v>
      </c>
      <c r="C75" s="12" t="s">
        <v>386</v>
      </c>
      <c r="D75" s="13" t="s">
        <v>4164</v>
      </c>
      <c r="E75" s="13" t="s">
        <v>4165</v>
      </c>
      <c r="F75" s="13" t="s">
        <v>4166</v>
      </c>
      <c r="G75" s="13" t="s">
        <v>144</v>
      </c>
      <c r="H75" s="13"/>
      <c r="I75" s="13" t="s">
        <v>1636</v>
      </c>
      <c r="J75" s="13" t="s">
        <v>4169</v>
      </c>
      <c r="K75" s="13" t="s">
        <v>4167</v>
      </c>
      <c r="L75" s="14" t="s">
        <v>4170</v>
      </c>
      <c r="M75" s="14" t="s">
        <v>41</v>
      </c>
      <c r="N75" s="14"/>
      <c r="O75" s="14" t="s">
        <v>4170</v>
      </c>
      <c r="P75" s="14" t="s">
        <v>41</v>
      </c>
      <c r="Q75" s="14"/>
      <c r="R75" s="14" t="s">
        <v>3844</v>
      </c>
    </row>
    <row r="76" customFormat="false" ht="23.85" hidden="false" customHeight="false" outlineLevel="0" collapsed="false">
      <c r="A76" s="12" t="s">
        <v>4163</v>
      </c>
      <c r="B76" s="12" t="s">
        <v>49</v>
      </c>
      <c r="C76" s="12" t="s">
        <v>409</v>
      </c>
      <c r="D76" s="13" t="s">
        <v>4164</v>
      </c>
      <c r="E76" s="13" t="s">
        <v>4165</v>
      </c>
      <c r="F76" s="13" t="s">
        <v>4166</v>
      </c>
      <c r="G76" s="13" t="s">
        <v>144</v>
      </c>
      <c r="H76" s="13"/>
      <c r="I76" s="13" t="s">
        <v>1681</v>
      </c>
      <c r="J76" s="13" t="s">
        <v>2796</v>
      </c>
      <c r="K76" s="13" t="s">
        <v>4167</v>
      </c>
      <c r="L76" s="14" t="s">
        <v>4171</v>
      </c>
      <c r="M76" s="14" t="s">
        <v>41</v>
      </c>
      <c r="N76" s="14"/>
      <c r="O76" s="14" t="s">
        <v>4171</v>
      </c>
      <c r="P76" s="14" t="s">
        <v>41</v>
      </c>
      <c r="Q76" s="14"/>
      <c r="R76" s="14" t="s">
        <v>3844</v>
      </c>
    </row>
    <row r="77" customFormat="false" ht="23.85" hidden="false" customHeight="false" outlineLevel="0" collapsed="false">
      <c r="A77" s="12" t="s">
        <v>4172</v>
      </c>
      <c r="B77" s="12" t="s">
        <v>49</v>
      </c>
      <c r="C77" s="12" t="s">
        <v>142</v>
      </c>
      <c r="D77" s="13" t="s">
        <v>4173</v>
      </c>
      <c r="E77" s="13" t="s">
        <v>4174</v>
      </c>
      <c r="F77" s="13" t="s">
        <v>4175</v>
      </c>
      <c r="G77" s="13" t="s">
        <v>144</v>
      </c>
      <c r="H77" s="13" t="s">
        <v>97</v>
      </c>
      <c r="I77" s="13" t="s">
        <v>1669</v>
      </c>
      <c r="J77" s="13" t="s">
        <v>3405</v>
      </c>
      <c r="K77" s="13" t="s">
        <v>4176</v>
      </c>
      <c r="L77" s="14" t="s">
        <v>4177</v>
      </c>
      <c r="M77" s="14" t="s">
        <v>41</v>
      </c>
      <c r="N77" s="14"/>
      <c r="O77" s="14" t="s">
        <v>4177</v>
      </c>
      <c r="P77" s="14" t="s">
        <v>41</v>
      </c>
      <c r="Q77" s="14"/>
      <c r="R77" s="14" t="s">
        <v>3844</v>
      </c>
    </row>
    <row r="78" customFormat="false" ht="23.85" hidden="false" customHeight="false" outlineLevel="0" collapsed="false">
      <c r="A78" s="12" t="s">
        <v>4172</v>
      </c>
      <c r="B78" s="12" t="s">
        <v>49</v>
      </c>
      <c r="C78" s="12" t="s">
        <v>164</v>
      </c>
      <c r="D78" s="13" t="s">
        <v>4173</v>
      </c>
      <c r="E78" s="13" t="s">
        <v>4174</v>
      </c>
      <c r="F78" s="13" t="s">
        <v>4175</v>
      </c>
      <c r="G78" s="13" t="s">
        <v>144</v>
      </c>
      <c r="H78" s="13" t="s">
        <v>3294</v>
      </c>
      <c r="I78" s="13" t="s">
        <v>3849</v>
      </c>
      <c r="J78" s="13" t="s">
        <v>4178</v>
      </c>
      <c r="K78" s="13" t="s">
        <v>4176</v>
      </c>
      <c r="L78" s="14" t="s">
        <v>4179</v>
      </c>
      <c r="M78" s="14" t="s">
        <v>41</v>
      </c>
      <c r="N78" s="14"/>
      <c r="O78" s="14" t="s">
        <v>4179</v>
      </c>
      <c r="P78" s="14" t="s">
        <v>41</v>
      </c>
      <c r="Q78" s="14"/>
      <c r="R78" s="14" t="s">
        <v>3844</v>
      </c>
    </row>
    <row r="79" customFormat="false" ht="23.85" hidden="false" customHeight="false" outlineLevel="0" collapsed="false">
      <c r="A79" s="12" t="s">
        <v>4180</v>
      </c>
      <c r="B79" s="12" t="s">
        <v>49</v>
      </c>
      <c r="C79" s="12" t="s">
        <v>142</v>
      </c>
      <c r="D79" s="13" t="s">
        <v>4181</v>
      </c>
      <c r="E79" s="13" t="s">
        <v>4182</v>
      </c>
      <c r="F79" s="13" t="s">
        <v>4183</v>
      </c>
      <c r="G79" s="13" t="s">
        <v>144</v>
      </c>
      <c r="H79" s="13" t="s">
        <v>3294</v>
      </c>
      <c r="I79" s="13" t="s">
        <v>3849</v>
      </c>
      <c r="J79" s="13" t="s">
        <v>4184</v>
      </c>
      <c r="K79" s="13" t="s">
        <v>4185</v>
      </c>
      <c r="L79" s="14" t="s">
        <v>3926</v>
      </c>
      <c r="M79" s="14" t="s">
        <v>41</v>
      </c>
      <c r="N79" s="14"/>
      <c r="O79" s="14" t="s">
        <v>3926</v>
      </c>
      <c r="P79" s="14" t="s">
        <v>41</v>
      </c>
      <c r="Q79" s="14"/>
      <c r="R79" s="14" t="s">
        <v>3844</v>
      </c>
    </row>
    <row r="80" customFormat="false" ht="23.85" hidden="false" customHeight="false" outlineLevel="0" collapsed="false">
      <c r="A80" s="12" t="s">
        <v>4180</v>
      </c>
      <c r="B80" s="12" t="s">
        <v>49</v>
      </c>
      <c r="C80" s="12" t="s">
        <v>164</v>
      </c>
      <c r="D80" s="13" t="s">
        <v>4181</v>
      </c>
      <c r="E80" s="13" t="s">
        <v>4182</v>
      </c>
      <c r="F80" s="13" t="s">
        <v>4183</v>
      </c>
      <c r="G80" s="13" t="s">
        <v>144</v>
      </c>
      <c r="H80" s="13" t="s">
        <v>95</v>
      </c>
      <c r="I80" s="13" t="s">
        <v>1605</v>
      </c>
      <c r="J80" s="13" t="s">
        <v>4186</v>
      </c>
      <c r="K80" s="13" t="s">
        <v>4185</v>
      </c>
      <c r="L80" s="14" t="s">
        <v>4187</v>
      </c>
      <c r="M80" s="14" t="s">
        <v>41</v>
      </c>
      <c r="N80" s="14"/>
      <c r="O80" s="14" t="s">
        <v>4187</v>
      </c>
      <c r="P80" s="14" t="s">
        <v>41</v>
      </c>
      <c r="Q80" s="14"/>
      <c r="R80" s="14" t="s">
        <v>3844</v>
      </c>
    </row>
  </sheetData>
  <conditionalFormatting sqref="M5:M80">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80">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5" min="3" style="0" width="34"/>
    <col collapsed="false" customWidth="true" hidden="false" outlineLevel="0" max="6" min="6" style="0" width="11"/>
    <col collapsed="false" customWidth="true" hidden="false" outlineLevel="0" max="13" min="7" style="0" width="13"/>
    <col collapsed="false" customWidth="true" hidden="false" outlineLevel="0" max="14" min="14" style="0" width="28"/>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38"/>
    <col collapsed="false" customWidth="true" hidden="false" outlineLevel="0" max="19" min="19" style="0" width="12"/>
    <col collapsed="false" customWidth="true" hidden="false" outlineLevel="0" max="20" min="20" style="0" width="34"/>
    <col collapsed="false" customWidth="true" hidden="false" outlineLevel="0" max="21" min="21" style="0" width="8"/>
  </cols>
  <sheetData>
    <row r="1" customFormat="false" ht="17.35" hidden="false" customHeight="false" outlineLevel="0" collapsed="false">
      <c r="A1" s="1" t="s">
        <v>4188</v>
      </c>
    </row>
    <row r="2" customFormat="false" ht="15" hidden="false" customHeight="false" outlineLevel="0" collapsed="false">
      <c r="A2" s="2" t="s">
        <v>4189</v>
      </c>
    </row>
    <row r="4" customFormat="false" ht="23.85" hidden="false" customHeight="false" outlineLevel="0" collapsed="false">
      <c r="A4" s="8" t="s">
        <v>132</v>
      </c>
      <c r="B4" s="8" t="s">
        <v>40</v>
      </c>
      <c r="C4" s="8" t="s">
        <v>135</v>
      </c>
      <c r="D4" s="8" t="s">
        <v>1244</v>
      </c>
      <c r="E4" s="8" t="s">
        <v>1245</v>
      </c>
      <c r="F4" s="8" t="s">
        <v>1246</v>
      </c>
      <c r="G4" s="8" t="s">
        <v>4190</v>
      </c>
      <c r="H4" s="8" t="s">
        <v>4191</v>
      </c>
      <c r="I4" s="8" t="s">
        <v>4192</v>
      </c>
      <c r="J4" s="8" t="s">
        <v>4193</v>
      </c>
      <c r="K4" s="8" t="s">
        <v>4194</v>
      </c>
      <c r="L4" s="8" t="s">
        <v>4195</v>
      </c>
      <c r="M4" s="8" t="s">
        <v>4196</v>
      </c>
      <c r="N4" s="8" t="s">
        <v>1250</v>
      </c>
      <c r="O4" s="8" t="s">
        <v>4197</v>
      </c>
      <c r="P4" s="8" t="s">
        <v>4198</v>
      </c>
      <c r="Q4" s="8" t="s">
        <v>1253</v>
      </c>
      <c r="R4" s="8" t="s">
        <v>4199</v>
      </c>
      <c r="S4" s="8" t="s">
        <v>4200</v>
      </c>
      <c r="T4" s="8" t="s">
        <v>1258</v>
      </c>
      <c r="U4" s="8" t="s">
        <v>1259</v>
      </c>
    </row>
    <row r="5" customFormat="false" ht="23.85" hidden="false" customHeight="false" outlineLevel="0" collapsed="false">
      <c r="A5" s="12" t="s">
        <v>4201</v>
      </c>
      <c r="B5" s="12" t="s">
        <v>65</v>
      </c>
      <c r="C5" s="13" t="s">
        <v>4202</v>
      </c>
      <c r="D5" s="13" t="s">
        <v>4203</v>
      </c>
      <c r="E5" s="13" t="s">
        <v>4204</v>
      </c>
      <c r="F5" s="13" t="s">
        <v>593</v>
      </c>
      <c r="G5" s="13" t="s">
        <v>689</v>
      </c>
      <c r="H5" s="13" t="s">
        <v>4205</v>
      </c>
      <c r="I5" s="13" t="s">
        <v>4206</v>
      </c>
      <c r="J5" s="13"/>
      <c r="K5" s="13" t="s">
        <v>4207</v>
      </c>
      <c r="L5" s="13" t="s">
        <v>4207</v>
      </c>
      <c r="M5" s="13" t="s">
        <v>4207</v>
      </c>
      <c r="N5" s="13" t="s">
        <v>4208</v>
      </c>
      <c r="O5" s="14" t="s">
        <v>4209</v>
      </c>
      <c r="P5" s="14" t="s">
        <v>43</v>
      </c>
      <c r="Q5" s="14" t="s">
        <v>4210</v>
      </c>
      <c r="R5" s="14" t="s">
        <v>4211</v>
      </c>
      <c r="S5" s="14" t="s">
        <v>41</v>
      </c>
      <c r="T5" s="14"/>
      <c r="U5" s="14" t="s">
        <v>4212</v>
      </c>
    </row>
    <row r="6" customFormat="false" ht="23.85" hidden="false" customHeight="false" outlineLevel="0" collapsed="false">
      <c r="A6" s="12" t="s">
        <v>4213</v>
      </c>
      <c r="B6" s="12" t="s">
        <v>65</v>
      </c>
      <c r="C6" s="13" t="s">
        <v>4214</v>
      </c>
      <c r="D6" s="13" t="s">
        <v>4215</v>
      </c>
      <c r="E6" s="13" t="s">
        <v>4216</v>
      </c>
      <c r="F6" s="13" t="s">
        <v>593</v>
      </c>
      <c r="G6" s="13" t="s">
        <v>689</v>
      </c>
      <c r="H6" s="13" t="s">
        <v>4205</v>
      </c>
      <c r="I6" s="13" t="s">
        <v>4217</v>
      </c>
      <c r="J6" s="13"/>
      <c r="K6" s="13" t="s">
        <v>4207</v>
      </c>
      <c r="L6" s="13" t="s">
        <v>4207</v>
      </c>
      <c r="M6" s="13" t="s">
        <v>4207</v>
      </c>
      <c r="N6" s="13" t="s">
        <v>4218</v>
      </c>
      <c r="O6" s="14" t="s">
        <v>4219</v>
      </c>
      <c r="P6" s="14" t="s">
        <v>41</v>
      </c>
      <c r="Q6" s="14"/>
      <c r="R6" s="14" t="s">
        <v>4219</v>
      </c>
      <c r="S6" s="14" t="s">
        <v>41</v>
      </c>
      <c r="T6" s="14"/>
      <c r="U6" s="14" t="s">
        <v>4212</v>
      </c>
    </row>
    <row r="7" customFormat="false" ht="35.05" hidden="false" customHeight="false" outlineLevel="0" collapsed="false">
      <c r="A7" s="12" t="s">
        <v>4220</v>
      </c>
      <c r="B7" s="12" t="s">
        <v>65</v>
      </c>
      <c r="C7" s="13" t="s">
        <v>4221</v>
      </c>
      <c r="D7" s="13" t="s">
        <v>4222</v>
      </c>
      <c r="E7" s="13" t="s">
        <v>4223</v>
      </c>
      <c r="F7" s="13" t="s">
        <v>593</v>
      </c>
      <c r="G7" s="13" t="s">
        <v>689</v>
      </c>
      <c r="H7" s="13" t="s">
        <v>4205</v>
      </c>
      <c r="I7" s="13" t="s">
        <v>4224</v>
      </c>
      <c r="J7" s="13" t="s">
        <v>4225</v>
      </c>
      <c r="K7" s="13" t="s">
        <v>4226</v>
      </c>
      <c r="L7" s="13" t="s">
        <v>4227</v>
      </c>
      <c r="M7" s="13" t="s">
        <v>4207</v>
      </c>
      <c r="N7" s="13" t="s">
        <v>4228</v>
      </c>
      <c r="O7" s="14" t="s">
        <v>4229</v>
      </c>
      <c r="P7" s="14" t="s">
        <v>43</v>
      </c>
      <c r="Q7" s="14" t="s">
        <v>4230</v>
      </c>
      <c r="R7" s="14" t="s">
        <v>4231</v>
      </c>
      <c r="S7" s="14" t="s">
        <v>41</v>
      </c>
      <c r="T7" s="14"/>
      <c r="U7" s="14" t="s">
        <v>4212</v>
      </c>
    </row>
    <row r="8" customFormat="false" ht="23.85" hidden="false" customHeight="false" outlineLevel="0" collapsed="false">
      <c r="A8" s="12" t="s">
        <v>4232</v>
      </c>
      <c r="B8" s="12" t="s">
        <v>65</v>
      </c>
      <c r="C8" s="13" t="s">
        <v>4233</v>
      </c>
      <c r="D8" s="13" t="s">
        <v>4234</v>
      </c>
      <c r="E8" s="13" t="s">
        <v>4235</v>
      </c>
      <c r="F8" s="13" t="s">
        <v>593</v>
      </c>
      <c r="G8" s="13" t="s">
        <v>689</v>
      </c>
      <c r="H8" s="13" t="s">
        <v>4205</v>
      </c>
      <c r="I8" s="13" t="s">
        <v>4236</v>
      </c>
      <c r="J8" s="13"/>
      <c r="K8" s="13" t="s">
        <v>4237</v>
      </c>
      <c r="L8" s="13" t="s">
        <v>4227</v>
      </c>
      <c r="M8" s="13" t="s">
        <v>4207</v>
      </c>
      <c r="N8" s="13" t="s">
        <v>4238</v>
      </c>
      <c r="O8" s="14" t="s">
        <v>4239</v>
      </c>
      <c r="P8" s="14" t="s">
        <v>41</v>
      </c>
      <c r="Q8" s="14"/>
      <c r="R8" s="14" t="s">
        <v>4239</v>
      </c>
      <c r="S8" s="14" t="s">
        <v>41</v>
      </c>
      <c r="T8" s="14"/>
      <c r="U8" s="14" t="s">
        <v>4212</v>
      </c>
    </row>
    <row r="9" customFormat="false" ht="15" hidden="false" customHeight="false" outlineLevel="0" collapsed="false">
      <c r="A9" s="12" t="s">
        <v>4240</v>
      </c>
      <c r="B9" s="12" t="s">
        <v>65</v>
      </c>
      <c r="C9" s="13" t="s">
        <v>4241</v>
      </c>
      <c r="D9" s="13" t="s">
        <v>4242</v>
      </c>
      <c r="E9" s="13" t="s">
        <v>4243</v>
      </c>
      <c r="F9" s="13" t="s">
        <v>593</v>
      </c>
      <c r="G9" s="13" t="s">
        <v>689</v>
      </c>
      <c r="H9" s="13" t="s">
        <v>4205</v>
      </c>
      <c r="I9" s="13" t="s">
        <v>4244</v>
      </c>
      <c r="J9" s="13"/>
      <c r="K9" s="13" t="s">
        <v>4207</v>
      </c>
      <c r="L9" s="13" t="s">
        <v>4207</v>
      </c>
      <c r="M9" s="13" t="s">
        <v>4245</v>
      </c>
      <c r="N9" s="13" t="s">
        <v>4246</v>
      </c>
      <c r="O9" s="14" t="s">
        <v>4247</v>
      </c>
      <c r="P9" s="14" t="s">
        <v>41</v>
      </c>
      <c r="Q9" s="14"/>
      <c r="R9" s="14" t="s">
        <v>4247</v>
      </c>
      <c r="S9" s="14" t="s">
        <v>41</v>
      </c>
      <c r="T9" s="14"/>
      <c r="U9" s="14" t="s">
        <v>4212</v>
      </c>
    </row>
    <row r="10" customFormat="false" ht="23.85" hidden="false" customHeight="false" outlineLevel="0" collapsed="false">
      <c r="A10" s="12" t="s">
        <v>4248</v>
      </c>
      <c r="B10" s="12" t="s">
        <v>65</v>
      </c>
      <c r="C10" s="13" t="s">
        <v>4249</v>
      </c>
      <c r="D10" s="13" t="s">
        <v>4250</v>
      </c>
      <c r="E10" s="13" t="s">
        <v>4251</v>
      </c>
      <c r="F10" s="13" t="s">
        <v>593</v>
      </c>
      <c r="G10" s="13" t="s">
        <v>689</v>
      </c>
      <c r="H10" s="13" t="s">
        <v>4205</v>
      </c>
      <c r="I10" s="13" t="s">
        <v>4217</v>
      </c>
      <c r="J10" s="13"/>
      <c r="K10" s="13" t="s">
        <v>4252</v>
      </c>
      <c r="L10" s="13" t="s">
        <v>4253</v>
      </c>
      <c r="M10" s="13" t="s">
        <v>4207</v>
      </c>
      <c r="N10" s="13" t="s">
        <v>4254</v>
      </c>
      <c r="O10" s="14" t="s">
        <v>4255</v>
      </c>
      <c r="P10" s="14" t="s">
        <v>41</v>
      </c>
      <c r="Q10" s="14"/>
      <c r="R10" s="14" t="s">
        <v>4255</v>
      </c>
      <c r="S10" s="14" t="s">
        <v>41</v>
      </c>
      <c r="T10" s="14"/>
      <c r="U10" s="14" t="s">
        <v>4212</v>
      </c>
    </row>
    <row r="11" customFormat="false" ht="23.85" hidden="false" customHeight="false" outlineLevel="0" collapsed="false">
      <c r="A11" s="12" t="s">
        <v>4256</v>
      </c>
      <c r="B11" s="12" t="s">
        <v>66</v>
      </c>
      <c r="C11" s="13" t="s">
        <v>4257</v>
      </c>
      <c r="D11" s="13" t="s">
        <v>4258</v>
      </c>
      <c r="E11" s="13" t="s">
        <v>4259</v>
      </c>
      <c r="F11" s="13" t="s">
        <v>593</v>
      </c>
      <c r="G11" s="13" t="s">
        <v>689</v>
      </c>
      <c r="H11" s="13" t="s">
        <v>4260</v>
      </c>
      <c r="I11" s="13"/>
      <c r="J11" s="13"/>
      <c r="K11" s="13" t="s">
        <v>4261</v>
      </c>
      <c r="L11" s="13" t="s">
        <v>4262</v>
      </c>
      <c r="M11" s="13" t="s">
        <v>4207</v>
      </c>
      <c r="N11" s="13" t="s">
        <v>4263</v>
      </c>
      <c r="O11" s="14" t="s">
        <v>4264</v>
      </c>
      <c r="P11" s="14" t="s">
        <v>41</v>
      </c>
      <c r="Q11" s="14"/>
      <c r="R11" s="14" t="s">
        <v>4264</v>
      </c>
      <c r="S11" s="14" t="s">
        <v>41</v>
      </c>
      <c r="T11" s="14"/>
      <c r="U11" s="14" t="s">
        <v>4212</v>
      </c>
    </row>
    <row r="12" customFormat="false" ht="23.85" hidden="false" customHeight="false" outlineLevel="0" collapsed="false">
      <c r="A12" s="12" t="s">
        <v>4265</v>
      </c>
      <c r="B12" s="12" t="s">
        <v>66</v>
      </c>
      <c r="C12" s="13" t="s">
        <v>4266</v>
      </c>
      <c r="D12" s="13" t="s">
        <v>4267</v>
      </c>
      <c r="E12" s="13" t="s">
        <v>4268</v>
      </c>
      <c r="F12" s="13" t="s">
        <v>593</v>
      </c>
      <c r="G12" s="13" t="s">
        <v>689</v>
      </c>
      <c r="H12" s="13" t="s">
        <v>4269</v>
      </c>
      <c r="I12" s="13"/>
      <c r="J12" s="13"/>
      <c r="K12" s="13" t="s">
        <v>4227</v>
      </c>
      <c r="L12" s="13" t="s">
        <v>4227</v>
      </c>
      <c r="M12" s="13" t="s">
        <v>4207</v>
      </c>
      <c r="N12" s="13" t="s">
        <v>4270</v>
      </c>
      <c r="O12" s="14" t="s">
        <v>4271</v>
      </c>
      <c r="P12" s="14" t="s">
        <v>41</v>
      </c>
      <c r="Q12" s="14"/>
      <c r="R12" s="14" t="s">
        <v>4271</v>
      </c>
      <c r="S12" s="14" t="s">
        <v>41</v>
      </c>
      <c r="T12" s="14"/>
      <c r="U12" s="14" t="s">
        <v>4212</v>
      </c>
    </row>
    <row r="13" customFormat="false" ht="23.85" hidden="false" customHeight="false" outlineLevel="0" collapsed="false">
      <c r="A13" s="12" t="s">
        <v>4272</v>
      </c>
      <c r="B13" s="12" t="s">
        <v>66</v>
      </c>
      <c r="C13" s="13" t="s">
        <v>4273</v>
      </c>
      <c r="D13" s="13" t="s">
        <v>4274</v>
      </c>
      <c r="E13" s="13" t="s">
        <v>4275</v>
      </c>
      <c r="F13" s="13" t="s">
        <v>593</v>
      </c>
      <c r="G13" s="13" t="s">
        <v>689</v>
      </c>
      <c r="H13" s="13" t="s">
        <v>4276</v>
      </c>
      <c r="I13" s="13"/>
      <c r="J13" s="13"/>
      <c r="K13" s="13" t="s">
        <v>4277</v>
      </c>
      <c r="L13" s="13" t="s">
        <v>4278</v>
      </c>
      <c r="M13" s="13" t="s">
        <v>4207</v>
      </c>
      <c r="N13" s="13" t="s">
        <v>4279</v>
      </c>
      <c r="O13" s="14" t="s">
        <v>4280</v>
      </c>
      <c r="P13" s="14" t="s">
        <v>41</v>
      </c>
      <c r="Q13" s="14"/>
      <c r="R13" s="14" t="s">
        <v>4280</v>
      </c>
      <c r="S13" s="14" t="s">
        <v>41</v>
      </c>
      <c r="T13" s="14"/>
      <c r="U13" s="14" t="s">
        <v>4212</v>
      </c>
    </row>
    <row r="14" customFormat="false" ht="23.85" hidden="false" customHeight="false" outlineLevel="0" collapsed="false">
      <c r="A14" s="12" t="s">
        <v>4281</v>
      </c>
      <c r="B14" s="12" t="s">
        <v>66</v>
      </c>
      <c r="C14" s="13" t="s">
        <v>4282</v>
      </c>
      <c r="D14" s="13" t="s">
        <v>4283</v>
      </c>
      <c r="E14" s="13" t="s">
        <v>4284</v>
      </c>
      <c r="F14" s="13" t="s">
        <v>593</v>
      </c>
      <c r="G14" s="13" t="s">
        <v>689</v>
      </c>
      <c r="H14" s="13" t="s">
        <v>4285</v>
      </c>
      <c r="I14" s="13"/>
      <c r="J14" s="13"/>
      <c r="K14" s="13" t="s">
        <v>4286</v>
      </c>
      <c r="L14" s="13" t="s">
        <v>4286</v>
      </c>
      <c r="M14" s="13" t="s">
        <v>4207</v>
      </c>
      <c r="N14" s="13" t="s">
        <v>4287</v>
      </c>
      <c r="O14" s="14" t="s">
        <v>4288</v>
      </c>
      <c r="P14" s="14" t="s">
        <v>41</v>
      </c>
      <c r="Q14" s="14"/>
      <c r="R14" s="14" t="s">
        <v>4288</v>
      </c>
      <c r="S14" s="14" t="s">
        <v>41</v>
      </c>
      <c r="T14" s="14"/>
      <c r="U14" s="14" t="s">
        <v>4212</v>
      </c>
    </row>
    <row r="15" customFormat="false" ht="23.85" hidden="false" customHeight="false" outlineLevel="0" collapsed="false">
      <c r="A15" s="12" t="s">
        <v>4289</v>
      </c>
      <c r="B15" s="12" t="s">
        <v>66</v>
      </c>
      <c r="C15" s="13" t="s">
        <v>4290</v>
      </c>
      <c r="D15" s="13" t="s">
        <v>4291</v>
      </c>
      <c r="E15" s="13" t="s">
        <v>4292</v>
      </c>
      <c r="F15" s="13" t="s">
        <v>593</v>
      </c>
      <c r="G15" s="13" t="s">
        <v>689</v>
      </c>
      <c r="H15" s="13" t="s">
        <v>4293</v>
      </c>
      <c r="I15" s="13"/>
      <c r="J15" s="13"/>
      <c r="K15" s="13" t="s">
        <v>4252</v>
      </c>
      <c r="L15" s="13" t="s">
        <v>4294</v>
      </c>
      <c r="M15" s="13" t="s">
        <v>4207</v>
      </c>
      <c r="N15" s="13" t="s">
        <v>4295</v>
      </c>
      <c r="O15" s="14" t="s">
        <v>4296</v>
      </c>
      <c r="P15" s="14" t="s">
        <v>41</v>
      </c>
      <c r="Q15" s="14"/>
      <c r="R15" s="14" t="s">
        <v>4296</v>
      </c>
      <c r="S15" s="14" t="s">
        <v>41</v>
      </c>
      <c r="T15" s="14"/>
      <c r="U15" s="14" t="s">
        <v>4212</v>
      </c>
    </row>
    <row r="16" customFormat="false" ht="15" hidden="false" customHeight="false" outlineLevel="0" collapsed="false">
      <c r="A16" s="12" t="s">
        <v>4297</v>
      </c>
      <c r="B16" s="12" t="s">
        <v>66</v>
      </c>
      <c r="C16" s="13" t="s">
        <v>4298</v>
      </c>
      <c r="D16" s="13" t="s">
        <v>4299</v>
      </c>
      <c r="E16" s="13" t="s">
        <v>4300</v>
      </c>
      <c r="F16" s="13" t="s">
        <v>593</v>
      </c>
      <c r="G16" s="13" t="s">
        <v>689</v>
      </c>
      <c r="H16" s="13" t="s">
        <v>4301</v>
      </c>
      <c r="I16" s="13"/>
      <c r="J16" s="13"/>
      <c r="K16" s="13" t="s">
        <v>4207</v>
      </c>
      <c r="L16" s="13" t="s">
        <v>4207</v>
      </c>
      <c r="M16" s="13" t="s">
        <v>4207</v>
      </c>
      <c r="N16" s="13" t="s">
        <v>4302</v>
      </c>
      <c r="O16" s="14" t="s">
        <v>4303</v>
      </c>
      <c r="P16" s="14" t="s">
        <v>41</v>
      </c>
      <c r="Q16" s="14"/>
      <c r="R16" s="14" t="s">
        <v>4303</v>
      </c>
      <c r="S16" s="14" t="s">
        <v>41</v>
      </c>
      <c r="T16" s="14"/>
      <c r="U16" s="14" t="s">
        <v>4212</v>
      </c>
    </row>
    <row r="17" customFormat="false" ht="23.85" hidden="false" customHeight="false" outlineLevel="0" collapsed="false">
      <c r="A17" s="12" t="s">
        <v>4304</v>
      </c>
      <c r="B17" s="12" t="s">
        <v>66</v>
      </c>
      <c r="C17" s="13" t="s">
        <v>4305</v>
      </c>
      <c r="D17" s="13" t="s">
        <v>4306</v>
      </c>
      <c r="E17" s="13" t="s">
        <v>4307</v>
      </c>
      <c r="F17" s="13" t="s">
        <v>593</v>
      </c>
      <c r="G17" s="13" t="s">
        <v>689</v>
      </c>
      <c r="H17" s="13" t="s">
        <v>4269</v>
      </c>
      <c r="I17" s="13"/>
      <c r="J17" s="13"/>
      <c r="K17" s="13" t="s">
        <v>4308</v>
      </c>
      <c r="L17" s="13" t="s">
        <v>4227</v>
      </c>
      <c r="M17" s="13" t="s">
        <v>4207</v>
      </c>
      <c r="N17" s="13" t="s">
        <v>4309</v>
      </c>
      <c r="O17" s="14" t="s">
        <v>4310</v>
      </c>
      <c r="P17" s="14" t="s">
        <v>43</v>
      </c>
      <c r="Q17" s="14" t="s">
        <v>4311</v>
      </c>
      <c r="R17" s="14" t="s">
        <v>4312</v>
      </c>
      <c r="S17" s="14" t="s">
        <v>41</v>
      </c>
      <c r="T17" s="14"/>
      <c r="U17" s="14" t="s">
        <v>4212</v>
      </c>
    </row>
    <row r="18" customFormat="false" ht="23.85" hidden="false" customHeight="false" outlineLevel="0" collapsed="false">
      <c r="A18" s="12" t="s">
        <v>4313</v>
      </c>
      <c r="B18" s="12" t="s">
        <v>66</v>
      </c>
      <c r="C18" s="13" t="s">
        <v>4314</v>
      </c>
      <c r="D18" s="13" t="s">
        <v>4315</v>
      </c>
      <c r="E18" s="13" t="s">
        <v>4316</v>
      </c>
      <c r="F18" s="13" t="s">
        <v>593</v>
      </c>
      <c r="G18" s="13" t="s">
        <v>689</v>
      </c>
      <c r="H18" s="13" t="s">
        <v>4301</v>
      </c>
      <c r="I18" s="13"/>
      <c r="J18" s="13"/>
      <c r="K18" s="13" t="s">
        <v>4317</v>
      </c>
      <c r="L18" s="13" t="s">
        <v>4227</v>
      </c>
      <c r="M18" s="13" t="s">
        <v>4207</v>
      </c>
      <c r="N18" s="13" t="s">
        <v>4318</v>
      </c>
      <c r="O18" s="14" t="s">
        <v>4319</v>
      </c>
      <c r="P18" s="14" t="s">
        <v>43</v>
      </c>
      <c r="Q18" s="14" t="s">
        <v>4320</v>
      </c>
      <c r="R18" s="14" t="s">
        <v>4321</v>
      </c>
      <c r="S18" s="14" t="s">
        <v>41</v>
      </c>
      <c r="T18" s="14"/>
      <c r="U18" s="14" t="s">
        <v>4212</v>
      </c>
    </row>
    <row r="19" customFormat="false" ht="23.85" hidden="false" customHeight="false" outlineLevel="0" collapsed="false">
      <c r="A19" s="12" t="s">
        <v>4322</v>
      </c>
      <c r="B19" s="12" t="s">
        <v>47</v>
      </c>
      <c r="C19" s="13" t="s">
        <v>4323</v>
      </c>
      <c r="D19" s="13" t="s">
        <v>4324</v>
      </c>
      <c r="E19" s="13" t="s">
        <v>4325</v>
      </c>
      <c r="F19" s="13" t="s">
        <v>593</v>
      </c>
      <c r="G19" s="13" t="s">
        <v>689</v>
      </c>
      <c r="H19" s="13" t="s">
        <v>4207</v>
      </c>
      <c r="I19" s="13"/>
      <c r="J19" s="13"/>
      <c r="K19" s="13" t="s">
        <v>4207</v>
      </c>
      <c r="L19" s="13" t="s">
        <v>4207</v>
      </c>
      <c r="M19" s="13" t="s">
        <v>4207</v>
      </c>
      <c r="N19" s="13" t="s">
        <v>4326</v>
      </c>
      <c r="O19" s="14" t="s">
        <v>4327</v>
      </c>
      <c r="P19" s="14" t="s">
        <v>41</v>
      </c>
      <c r="Q19" s="14"/>
      <c r="R19" s="14" t="s">
        <v>4327</v>
      </c>
      <c r="S19" s="14" t="s">
        <v>41</v>
      </c>
      <c r="T19" s="14"/>
      <c r="U19" s="14" t="s">
        <v>4212</v>
      </c>
    </row>
    <row r="20" customFormat="false" ht="23.85" hidden="false" customHeight="false" outlineLevel="0" collapsed="false">
      <c r="A20" s="12" t="s">
        <v>4328</v>
      </c>
      <c r="B20" s="12" t="s">
        <v>47</v>
      </c>
      <c r="C20" s="13" t="s">
        <v>4329</v>
      </c>
      <c r="D20" s="13" t="s">
        <v>4330</v>
      </c>
      <c r="E20" s="13" t="s">
        <v>4331</v>
      </c>
      <c r="F20" s="13" t="s">
        <v>593</v>
      </c>
      <c r="G20" s="13" t="s">
        <v>689</v>
      </c>
      <c r="H20" s="13" t="s">
        <v>4205</v>
      </c>
      <c r="I20" s="13"/>
      <c r="J20" s="13" t="s">
        <v>4332</v>
      </c>
      <c r="K20" s="13" t="s">
        <v>4333</v>
      </c>
      <c r="L20" s="13" t="s">
        <v>4227</v>
      </c>
      <c r="M20" s="13" t="s">
        <v>4207</v>
      </c>
      <c r="N20" s="13" t="s">
        <v>4334</v>
      </c>
      <c r="O20" s="14" t="s">
        <v>4335</v>
      </c>
      <c r="P20" s="14" t="s">
        <v>41</v>
      </c>
      <c r="Q20" s="14"/>
      <c r="R20" s="14" t="s">
        <v>4335</v>
      </c>
      <c r="S20" s="14" t="s">
        <v>41</v>
      </c>
      <c r="T20" s="14"/>
      <c r="U20" s="14" t="s">
        <v>4212</v>
      </c>
    </row>
    <row r="21" customFormat="false" ht="23.85" hidden="false" customHeight="false" outlineLevel="0" collapsed="false">
      <c r="A21" s="12" t="s">
        <v>4336</v>
      </c>
      <c r="B21" s="12" t="s">
        <v>47</v>
      </c>
      <c r="C21" s="13" t="s">
        <v>4337</v>
      </c>
      <c r="D21" s="13" t="s">
        <v>4338</v>
      </c>
      <c r="E21" s="13" t="s">
        <v>4339</v>
      </c>
      <c r="F21" s="13" t="s">
        <v>593</v>
      </c>
      <c r="G21" s="13" t="s">
        <v>689</v>
      </c>
      <c r="H21" s="13" t="s">
        <v>4205</v>
      </c>
      <c r="I21" s="13" t="s">
        <v>4340</v>
      </c>
      <c r="J21" s="13"/>
      <c r="K21" s="13" t="s">
        <v>4237</v>
      </c>
      <c r="L21" s="13" t="s">
        <v>4227</v>
      </c>
      <c r="M21" s="13" t="s">
        <v>4207</v>
      </c>
      <c r="N21" s="13" t="s">
        <v>4341</v>
      </c>
      <c r="O21" s="14" t="s">
        <v>4310</v>
      </c>
      <c r="P21" s="14" t="s">
        <v>43</v>
      </c>
      <c r="Q21" s="14" t="s">
        <v>4342</v>
      </c>
      <c r="R21" s="14" t="s">
        <v>4343</v>
      </c>
      <c r="S21" s="14" t="s">
        <v>41</v>
      </c>
      <c r="T21" s="14"/>
      <c r="U21" s="14" t="s">
        <v>4212</v>
      </c>
    </row>
    <row r="22" customFormat="false" ht="15" hidden="false" customHeight="false" outlineLevel="0" collapsed="false">
      <c r="A22" s="12" t="s">
        <v>4344</v>
      </c>
      <c r="B22" s="12" t="s">
        <v>47</v>
      </c>
      <c r="C22" s="13" t="s">
        <v>4345</v>
      </c>
      <c r="D22" s="13" t="s">
        <v>4346</v>
      </c>
      <c r="E22" s="13" t="s">
        <v>4347</v>
      </c>
      <c r="F22" s="13" t="s">
        <v>593</v>
      </c>
      <c r="G22" s="13" t="s">
        <v>689</v>
      </c>
      <c r="H22" s="13" t="s">
        <v>4205</v>
      </c>
      <c r="I22" s="13" t="s">
        <v>4348</v>
      </c>
      <c r="J22" s="13"/>
      <c r="K22" s="13" t="s">
        <v>4207</v>
      </c>
      <c r="L22" s="13" t="s">
        <v>4207</v>
      </c>
      <c r="M22" s="13" t="s">
        <v>4207</v>
      </c>
      <c r="N22" s="13" t="s">
        <v>3659</v>
      </c>
      <c r="O22" s="14" t="s">
        <v>4349</v>
      </c>
      <c r="P22" s="14" t="s">
        <v>41</v>
      </c>
      <c r="Q22" s="14"/>
      <c r="R22" s="14" t="s">
        <v>4349</v>
      </c>
      <c r="S22" s="14" t="s">
        <v>41</v>
      </c>
      <c r="T22" s="14"/>
      <c r="U22" s="14" t="s">
        <v>4212</v>
      </c>
    </row>
    <row r="23" customFormat="false" ht="23.85" hidden="false" customHeight="false" outlineLevel="0" collapsed="false">
      <c r="A23" s="12" t="s">
        <v>4350</v>
      </c>
      <c r="B23" s="12" t="s">
        <v>67</v>
      </c>
      <c r="C23" s="13" t="s">
        <v>4351</v>
      </c>
      <c r="D23" s="13" t="s">
        <v>4352</v>
      </c>
      <c r="E23" s="13" t="s">
        <v>4353</v>
      </c>
      <c r="F23" s="13" t="s">
        <v>144</v>
      </c>
      <c r="G23" s="13" t="s">
        <v>4354</v>
      </c>
      <c r="H23" s="13"/>
      <c r="I23" s="13"/>
      <c r="J23" s="13"/>
      <c r="K23" s="13"/>
      <c r="L23" s="13"/>
      <c r="M23" s="13"/>
      <c r="N23" s="13" t="s">
        <v>4355</v>
      </c>
      <c r="O23" s="14" t="s">
        <v>4356</v>
      </c>
      <c r="P23" s="14" t="s">
        <v>44</v>
      </c>
      <c r="Q23" s="14" t="s">
        <v>4357</v>
      </c>
      <c r="R23" s="14" t="s">
        <v>4358</v>
      </c>
      <c r="S23" s="14" t="s">
        <v>41</v>
      </c>
      <c r="T23" s="14"/>
      <c r="U23" s="14" t="s">
        <v>4212</v>
      </c>
    </row>
    <row r="24" customFormat="false" ht="23.85" hidden="false" customHeight="false" outlineLevel="0" collapsed="false">
      <c r="A24" s="12" t="s">
        <v>4359</v>
      </c>
      <c r="B24" s="12" t="s">
        <v>67</v>
      </c>
      <c r="C24" s="13" t="s">
        <v>4360</v>
      </c>
      <c r="D24" s="13" t="s">
        <v>4361</v>
      </c>
      <c r="E24" s="13" t="s">
        <v>4362</v>
      </c>
      <c r="F24" s="13" t="s">
        <v>144</v>
      </c>
      <c r="G24" s="13" t="s">
        <v>4354</v>
      </c>
      <c r="H24" s="13"/>
      <c r="I24" s="13"/>
      <c r="J24" s="13"/>
      <c r="K24" s="13"/>
      <c r="L24" s="13"/>
      <c r="M24" s="13"/>
      <c r="N24" s="13" t="s">
        <v>4363</v>
      </c>
      <c r="O24" s="14" t="s">
        <v>4364</v>
      </c>
      <c r="P24" s="14" t="s">
        <v>41</v>
      </c>
      <c r="Q24" s="14"/>
      <c r="R24" s="14" t="s">
        <v>4364</v>
      </c>
      <c r="S24" s="14" t="s">
        <v>41</v>
      </c>
      <c r="T24" s="14"/>
      <c r="U24" s="14" t="s">
        <v>4212</v>
      </c>
    </row>
  </sheetData>
  <conditionalFormatting sqref="P5:P24">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S5:S24">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5" min="3" style="0" width="34"/>
    <col collapsed="false" customWidth="true" hidden="false" outlineLevel="0" max="6" min="6" style="0" width="11"/>
    <col collapsed="false" customWidth="true" hidden="false" outlineLevel="0" max="10" min="7" style="0" width="13"/>
    <col collapsed="false" customWidth="true" hidden="false" outlineLevel="0" max="11" min="11" style="0" width="28"/>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38"/>
    <col collapsed="false" customWidth="true" hidden="false" outlineLevel="0" max="16" min="16" style="0" width="12"/>
    <col collapsed="false" customWidth="true" hidden="false" outlineLevel="0" max="17" min="17" style="0" width="34"/>
    <col collapsed="false" customWidth="true" hidden="false" outlineLevel="0" max="18" min="18" style="0" width="8"/>
  </cols>
  <sheetData>
    <row r="1" customFormat="false" ht="17.35" hidden="false" customHeight="false" outlineLevel="0" collapsed="false">
      <c r="A1" s="1" t="s">
        <v>4365</v>
      </c>
    </row>
    <row r="2" customFormat="false" ht="15" hidden="false" customHeight="false" outlineLevel="0" collapsed="false">
      <c r="A2" s="2" t="s">
        <v>4366</v>
      </c>
    </row>
    <row r="3" customFormat="false" ht="15" hidden="false" customHeight="false" outlineLevel="0" collapsed="false">
      <c r="A3" s="2" t="s">
        <v>4367</v>
      </c>
    </row>
    <row r="4" customFormat="false" ht="23.85" hidden="false" customHeight="false" outlineLevel="0" collapsed="false">
      <c r="A4" s="8" t="s">
        <v>132</v>
      </c>
      <c r="B4" s="8" t="s">
        <v>40</v>
      </c>
      <c r="C4" s="8" t="s">
        <v>135</v>
      </c>
      <c r="D4" s="8" t="s">
        <v>1244</v>
      </c>
      <c r="E4" s="8" t="s">
        <v>1245</v>
      </c>
      <c r="F4" s="8" t="s">
        <v>1246</v>
      </c>
      <c r="G4" s="8" t="s">
        <v>4190</v>
      </c>
      <c r="H4" s="8" t="s">
        <v>4368</v>
      </c>
      <c r="I4" s="8" t="s">
        <v>4369</v>
      </c>
      <c r="J4" s="8" t="s">
        <v>4370</v>
      </c>
      <c r="K4" s="8" t="s">
        <v>1250</v>
      </c>
      <c r="L4" s="8" t="s">
        <v>4371</v>
      </c>
      <c r="M4" s="8" t="s">
        <v>4198</v>
      </c>
      <c r="N4" s="8" t="s">
        <v>1253</v>
      </c>
      <c r="O4" s="8" t="s">
        <v>4372</v>
      </c>
      <c r="P4" s="8" t="s">
        <v>4200</v>
      </c>
      <c r="Q4" s="8" t="s">
        <v>1258</v>
      </c>
      <c r="R4" s="8" t="s">
        <v>1259</v>
      </c>
    </row>
    <row r="5" customFormat="false" ht="23.85" hidden="false" customHeight="false" outlineLevel="0" collapsed="false">
      <c r="A5" s="12" t="s">
        <v>4373</v>
      </c>
      <c r="B5" s="12" t="s">
        <v>70</v>
      </c>
      <c r="C5" s="13" t="s">
        <v>4374</v>
      </c>
      <c r="D5" s="13" t="s">
        <v>4375</v>
      </c>
      <c r="E5" s="13" t="s">
        <v>4376</v>
      </c>
      <c r="F5" s="13" t="s">
        <v>634</v>
      </c>
      <c r="G5" s="13" t="s">
        <v>4377</v>
      </c>
      <c r="H5" s="13" t="s">
        <v>4236</v>
      </c>
      <c r="I5" s="13" t="s">
        <v>4286</v>
      </c>
      <c r="J5" s="13" t="s">
        <v>591</v>
      </c>
      <c r="K5" s="13" t="s">
        <v>4378</v>
      </c>
      <c r="L5" s="14" t="s">
        <v>4379</v>
      </c>
      <c r="M5" s="14" t="s">
        <v>43</v>
      </c>
      <c r="N5" s="14" t="s">
        <v>4380</v>
      </c>
      <c r="O5" s="14" t="s">
        <v>4381</v>
      </c>
      <c r="P5" s="14" t="s">
        <v>41</v>
      </c>
      <c r="Q5" s="14"/>
      <c r="R5" s="14" t="s">
        <v>4382</v>
      </c>
    </row>
    <row r="6" customFormat="false" ht="23.85" hidden="false" customHeight="false" outlineLevel="0" collapsed="false">
      <c r="A6" s="12" t="s">
        <v>4383</v>
      </c>
      <c r="B6" s="12" t="s">
        <v>70</v>
      </c>
      <c r="C6" s="13" t="s">
        <v>4384</v>
      </c>
      <c r="D6" s="13" t="s">
        <v>4385</v>
      </c>
      <c r="E6" s="13" t="s">
        <v>4386</v>
      </c>
      <c r="F6" s="13" t="s">
        <v>634</v>
      </c>
      <c r="G6" s="13" t="s">
        <v>4377</v>
      </c>
      <c r="H6" s="13" t="s">
        <v>4206</v>
      </c>
      <c r="I6" s="13" t="s">
        <v>4387</v>
      </c>
      <c r="J6" s="13" t="s">
        <v>591</v>
      </c>
      <c r="K6" s="13"/>
      <c r="L6" s="14" t="s">
        <v>4388</v>
      </c>
      <c r="M6" s="14" t="s">
        <v>41</v>
      </c>
      <c r="N6" s="14"/>
      <c r="O6" s="14" t="s">
        <v>4388</v>
      </c>
      <c r="P6" s="14" t="s">
        <v>41</v>
      </c>
      <c r="Q6" s="14"/>
      <c r="R6" s="14" t="s">
        <v>4389</v>
      </c>
    </row>
    <row r="7" customFormat="false" ht="23.85" hidden="false" customHeight="false" outlineLevel="0" collapsed="false">
      <c r="A7" s="12" t="s">
        <v>4390</v>
      </c>
      <c r="B7" s="12" t="s">
        <v>70</v>
      </c>
      <c r="C7" s="13" t="s">
        <v>4391</v>
      </c>
      <c r="D7" s="13" t="s">
        <v>4392</v>
      </c>
      <c r="E7" s="13" t="s">
        <v>4393</v>
      </c>
      <c r="F7" s="13" t="s">
        <v>634</v>
      </c>
      <c r="G7" s="13" t="s">
        <v>4377</v>
      </c>
      <c r="H7" s="13" t="s">
        <v>4217</v>
      </c>
      <c r="I7" s="13" t="s">
        <v>4394</v>
      </c>
      <c r="J7" s="13" t="s">
        <v>591</v>
      </c>
      <c r="K7" s="13"/>
      <c r="L7" s="14" t="s">
        <v>4395</v>
      </c>
      <c r="M7" s="14" t="s">
        <v>41</v>
      </c>
      <c r="N7" s="14"/>
      <c r="O7" s="14" t="s">
        <v>4395</v>
      </c>
      <c r="P7" s="14" t="s">
        <v>41</v>
      </c>
      <c r="Q7" s="14"/>
      <c r="R7" s="14" t="s">
        <v>4389</v>
      </c>
    </row>
    <row r="8" customFormat="false" ht="68.65" hidden="false" customHeight="false" outlineLevel="0" collapsed="false">
      <c r="A8" s="12" t="s">
        <v>4396</v>
      </c>
      <c r="B8" s="12" t="s">
        <v>70</v>
      </c>
      <c r="C8" s="13" t="s">
        <v>4397</v>
      </c>
      <c r="D8" s="13" t="s">
        <v>4398</v>
      </c>
      <c r="E8" s="13" t="s">
        <v>4399</v>
      </c>
      <c r="F8" s="13" t="s">
        <v>634</v>
      </c>
      <c r="G8" s="13" t="s">
        <v>4377</v>
      </c>
      <c r="H8" s="13" t="s">
        <v>4244</v>
      </c>
      <c r="I8" s="13" t="s">
        <v>4394</v>
      </c>
      <c r="J8" s="13" t="s">
        <v>591</v>
      </c>
      <c r="K8" s="13" t="s">
        <v>4400</v>
      </c>
      <c r="L8" s="14" t="s">
        <v>4401</v>
      </c>
      <c r="M8" s="14" t="s">
        <v>43</v>
      </c>
      <c r="N8" s="14" t="s">
        <v>4402</v>
      </c>
      <c r="O8" s="14" t="s">
        <v>4403</v>
      </c>
      <c r="P8" s="14" t="s">
        <v>41</v>
      </c>
      <c r="Q8" s="14"/>
      <c r="R8" s="14" t="s">
        <v>4382</v>
      </c>
    </row>
    <row r="9" customFormat="false" ht="23.85" hidden="false" customHeight="false" outlineLevel="0" collapsed="false">
      <c r="A9" s="12" t="s">
        <v>4404</v>
      </c>
      <c r="B9" s="12" t="s">
        <v>70</v>
      </c>
      <c r="C9" s="13" t="s">
        <v>4405</v>
      </c>
      <c r="D9" s="13" t="s">
        <v>4406</v>
      </c>
      <c r="E9" s="13" t="s">
        <v>4407</v>
      </c>
      <c r="F9" s="13" t="s">
        <v>634</v>
      </c>
      <c r="G9" s="13" t="s">
        <v>4377</v>
      </c>
      <c r="H9" s="13" t="s">
        <v>4348</v>
      </c>
      <c r="I9" s="13" t="s">
        <v>4408</v>
      </c>
      <c r="J9" s="13" t="s">
        <v>591</v>
      </c>
      <c r="K9" s="13"/>
      <c r="L9" s="14" t="s">
        <v>4409</v>
      </c>
      <c r="M9" s="14" t="s">
        <v>41</v>
      </c>
      <c r="N9" s="14"/>
      <c r="O9" s="14" t="s">
        <v>4409</v>
      </c>
      <c r="P9" s="14" t="s">
        <v>41</v>
      </c>
      <c r="Q9" s="14"/>
      <c r="R9" s="14" t="s">
        <v>4389</v>
      </c>
    </row>
    <row r="10" customFormat="false" ht="35.05" hidden="false" customHeight="false" outlineLevel="0" collapsed="false">
      <c r="A10" s="12" t="s">
        <v>4410</v>
      </c>
      <c r="B10" s="12" t="s">
        <v>70</v>
      </c>
      <c r="C10" s="13" t="s">
        <v>4411</v>
      </c>
      <c r="D10" s="13" t="s">
        <v>4412</v>
      </c>
      <c r="E10" s="13" t="s">
        <v>4413</v>
      </c>
      <c r="F10" s="13" t="s">
        <v>634</v>
      </c>
      <c r="G10" s="13" t="s">
        <v>4377</v>
      </c>
      <c r="H10" s="13" t="s">
        <v>4340</v>
      </c>
      <c r="I10" s="13" t="s">
        <v>4286</v>
      </c>
      <c r="J10" s="13" t="s">
        <v>591</v>
      </c>
      <c r="K10" s="13" t="s">
        <v>4414</v>
      </c>
      <c r="L10" s="14" t="s">
        <v>4415</v>
      </c>
      <c r="M10" s="14" t="s">
        <v>43</v>
      </c>
      <c r="N10" s="14" t="s">
        <v>4416</v>
      </c>
      <c r="O10" s="14" t="s">
        <v>4415</v>
      </c>
      <c r="P10" s="14" t="s">
        <v>43</v>
      </c>
      <c r="Q10" s="14" t="s">
        <v>4416</v>
      </c>
      <c r="R10" s="14" t="s">
        <v>4382</v>
      </c>
    </row>
    <row r="11" customFormat="false" ht="23.85" hidden="false" customHeight="false" outlineLevel="0" collapsed="false">
      <c r="A11" s="12" t="s">
        <v>4417</v>
      </c>
      <c r="B11" s="12" t="s">
        <v>70</v>
      </c>
      <c r="C11" s="13" t="s">
        <v>4418</v>
      </c>
      <c r="D11" s="13" t="s">
        <v>4419</v>
      </c>
      <c r="E11" s="13" t="s">
        <v>4420</v>
      </c>
      <c r="F11" s="13" t="s">
        <v>634</v>
      </c>
      <c r="G11" s="13" t="s">
        <v>4377</v>
      </c>
      <c r="H11" s="13" t="s">
        <v>4224</v>
      </c>
      <c r="I11" s="13" t="s">
        <v>4261</v>
      </c>
      <c r="J11" s="13" t="s">
        <v>591</v>
      </c>
      <c r="K11" s="13"/>
      <c r="L11" s="14" t="s">
        <v>4421</v>
      </c>
      <c r="M11" s="14" t="s">
        <v>41</v>
      </c>
      <c r="N11" s="14"/>
      <c r="O11" s="14" t="s">
        <v>4421</v>
      </c>
      <c r="P11" s="14" t="s">
        <v>41</v>
      </c>
      <c r="Q11" s="14"/>
      <c r="R11" s="14" t="s">
        <v>4389</v>
      </c>
    </row>
    <row r="12" customFormat="false" ht="23.85" hidden="false" customHeight="false" outlineLevel="0" collapsed="false">
      <c r="A12" s="12" t="s">
        <v>4422</v>
      </c>
      <c r="B12" s="12" t="s">
        <v>71</v>
      </c>
      <c r="C12" s="13" t="s">
        <v>4423</v>
      </c>
      <c r="D12" s="13" t="s">
        <v>4424</v>
      </c>
      <c r="E12" s="13" t="s">
        <v>4425</v>
      </c>
      <c r="F12" s="13" t="s">
        <v>634</v>
      </c>
      <c r="G12" s="13" t="s">
        <v>4377</v>
      </c>
      <c r="H12" s="13" t="s">
        <v>4426</v>
      </c>
      <c r="I12" s="13" t="s">
        <v>4286</v>
      </c>
      <c r="J12" s="13" t="s">
        <v>591</v>
      </c>
      <c r="K12" s="13"/>
      <c r="L12" s="14" t="s">
        <v>4427</v>
      </c>
      <c r="M12" s="14" t="s">
        <v>41</v>
      </c>
      <c r="N12" s="14"/>
      <c r="O12" s="14" t="s">
        <v>4427</v>
      </c>
      <c r="P12" s="14" t="s">
        <v>41</v>
      </c>
      <c r="Q12" s="14"/>
      <c r="R12" s="14" t="s">
        <v>4389</v>
      </c>
    </row>
    <row r="13" customFormat="false" ht="23.85" hidden="false" customHeight="false" outlineLevel="0" collapsed="false">
      <c r="A13" s="12" t="s">
        <v>4428</v>
      </c>
      <c r="B13" s="12" t="s">
        <v>71</v>
      </c>
      <c r="C13" s="13" t="s">
        <v>4429</v>
      </c>
      <c r="D13" s="13" t="s">
        <v>4430</v>
      </c>
      <c r="E13" s="13" t="s">
        <v>4431</v>
      </c>
      <c r="F13" s="13" t="s">
        <v>634</v>
      </c>
      <c r="G13" s="13" t="s">
        <v>4377</v>
      </c>
      <c r="H13" s="13" t="s">
        <v>4426</v>
      </c>
      <c r="I13" s="13" t="s">
        <v>4207</v>
      </c>
      <c r="J13" s="13" t="s">
        <v>591</v>
      </c>
      <c r="K13" s="13" t="s">
        <v>4432</v>
      </c>
      <c r="L13" s="14" t="s">
        <v>4433</v>
      </c>
      <c r="M13" s="14" t="s">
        <v>41</v>
      </c>
      <c r="N13" s="14"/>
      <c r="O13" s="14" t="s">
        <v>4433</v>
      </c>
      <c r="P13" s="14" t="s">
        <v>41</v>
      </c>
      <c r="Q13" s="14"/>
      <c r="R13" s="14" t="s">
        <v>4389</v>
      </c>
    </row>
    <row r="14" customFormat="false" ht="23.85" hidden="false" customHeight="false" outlineLevel="0" collapsed="false">
      <c r="A14" s="12" t="s">
        <v>4434</v>
      </c>
      <c r="B14" s="12" t="s">
        <v>71</v>
      </c>
      <c r="C14" s="13" t="s">
        <v>4435</v>
      </c>
      <c r="D14" s="13" t="s">
        <v>4436</v>
      </c>
      <c r="E14" s="13" t="s">
        <v>4437</v>
      </c>
      <c r="F14" s="13" t="s">
        <v>634</v>
      </c>
      <c r="G14" s="13" t="s">
        <v>4377</v>
      </c>
      <c r="H14" s="13" t="s">
        <v>4236</v>
      </c>
      <c r="I14" s="13" t="s">
        <v>4207</v>
      </c>
      <c r="J14" s="13" t="s">
        <v>591</v>
      </c>
      <c r="K14" s="13"/>
      <c r="L14" s="14" t="s">
        <v>4438</v>
      </c>
      <c r="M14" s="14" t="s">
        <v>41</v>
      </c>
      <c r="N14" s="14"/>
      <c r="O14" s="14" t="s">
        <v>4438</v>
      </c>
      <c r="P14" s="14" t="s">
        <v>41</v>
      </c>
      <c r="Q14" s="14"/>
      <c r="R14" s="14" t="s">
        <v>4389</v>
      </c>
    </row>
    <row r="15" customFormat="false" ht="23.85" hidden="false" customHeight="false" outlineLevel="0" collapsed="false">
      <c r="A15" s="12" t="s">
        <v>4439</v>
      </c>
      <c r="B15" s="12" t="s">
        <v>71</v>
      </c>
      <c r="C15" s="13" t="s">
        <v>4440</v>
      </c>
      <c r="D15" s="13" t="s">
        <v>4441</v>
      </c>
      <c r="E15" s="13" t="s">
        <v>4442</v>
      </c>
      <c r="F15" s="13" t="s">
        <v>634</v>
      </c>
      <c r="G15" s="13" t="s">
        <v>4377</v>
      </c>
      <c r="H15" s="13" t="s">
        <v>4426</v>
      </c>
      <c r="I15" s="13" t="s">
        <v>4227</v>
      </c>
      <c r="J15" s="13" t="s">
        <v>591</v>
      </c>
      <c r="K15" s="13"/>
      <c r="L15" s="14" t="s">
        <v>4443</v>
      </c>
      <c r="M15" s="14" t="s">
        <v>41</v>
      </c>
      <c r="N15" s="14"/>
      <c r="O15" s="14" t="s">
        <v>4443</v>
      </c>
      <c r="P15" s="14" t="s">
        <v>41</v>
      </c>
      <c r="Q15" s="14"/>
      <c r="R15" s="14" t="s">
        <v>4389</v>
      </c>
    </row>
    <row r="16" customFormat="false" ht="23.85" hidden="false" customHeight="false" outlineLevel="0" collapsed="false">
      <c r="A16" s="12" t="s">
        <v>4444</v>
      </c>
      <c r="B16" s="12" t="s">
        <v>71</v>
      </c>
      <c r="C16" s="13" t="s">
        <v>4445</v>
      </c>
      <c r="D16" s="13" t="s">
        <v>4446</v>
      </c>
      <c r="E16" s="13" t="s">
        <v>4447</v>
      </c>
      <c r="F16" s="13" t="s">
        <v>634</v>
      </c>
      <c r="G16" s="13" t="s">
        <v>4377</v>
      </c>
      <c r="H16" s="13" t="s">
        <v>4426</v>
      </c>
      <c r="I16" s="13" t="s">
        <v>4207</v>
      </c>
      <c r="J16" s="13" t="s">
        <v>591</v>
      </c>
      <c r="K16" s="13"/>
      <c r="L16" s="14" t="s">
        <v>4433</v>
      </c>
      <c r="M16" s="14" t="s">
        <v>41</v>
      </c>
      <c r="N16" s="14"/>
      <c r="O16" s="14" t="s">
        <v>4433</v>
      </c>
      <c r="P16" s="14" t="s">
        <v>41</v>
      </c>
      <c r="Q16" s="14"/>
      <c r="R16" s="14" t="s">
        <v>4389</v>
      </c>
    </row>
    <row r="17" customFormat="false" ht="23.85" hidden="false" customHeight="false" outlineLevel="0" collapsed="false">
      <c r="A17" s="12" t="s">
        <v>4448</v>
      </c>
      <c r="B17" s="12" t="s">
        <v>71</v>
      </c>
      <c r="C17" s="13" t="s">
        <v>4449</v>
      </c>
      <c r="D17" s="13" t="s">
        <v>4450</v>
      </c>
      <c r="E17" s="13" t="s">
        <v>4451</v>
      </c>
      <c r="F17" s="13" t="s">
        <v>634</v>
      </c>
      <c r="G17" s="13" t="s">
        <v>4377</v>
      </c>
      <c r="H17" s="13" t="s">
        <v>4217</v>
      </c>
      <c r="I17" s="13" t="s">
        <v>4207</v>
      </c>
      <c r="J17" s="13" t="s">
        <v>591</v>
      </c>
      <c r="K17" s="13" t="s">
        <v>4452</v>
      </c>
      <c r="L17" s="14" t="s">
        <v>4453</v>
      </c>
      <c r="M17" s="14" t="s">
        <v>41</v>
      </c>
      <c r="N17" s="14"/>
      <c r="O17" s="14" t="s">
        <v>4453</v>
      </c>
      <c r="P17" s="14" t="s">
        <v>41</v>
      </c>
      <c r="Q17" s="14"/>
      <c r="R17" s="14" t="s">
        <v>4389</v>
      </c>
    </row>
    <row r="18" customFormat="false" ht="46.25" hidden="false" customHeight="false" outlineLevel="0" collapsed="false">
      <c r="A18" s="12" t="s">
        <v>4454</v>
      </c>
      <c r="B18" s="12" t="s">
        <v>72</v>
      </c>
      <c r="C18" s="13" t="s">
        <v>4455</v>
      </c>
      <c r="D18" s="13" t="s">
        <v>4456</v>
      </c>
      <c r="E18" s="13" t="s">
        <v>4457</v>
      </c>
      <c r="F18" s="13" t="s">
        <v>634</v>
      </c>
      <c r="G18" s="13" t="s">
        <v>4377</v>
      </c>
      <c r="H18" s="13" t="s">
        <v>4236</v>
      </c>
      <c r="I18" s="13" t="s">
        <v>4286</v>
      </c>
      <c r="J18" s="13" t="s">
        <v>4458</v>
      </c>
      <c r="K18" s="13"/>
      <c r="L18" s="14" t="s">
        <v>4459</v>
      </c>
      <c r="M18" s="14" t="s">
        <v>41</v>
      </c>
      <c r="N18" s="14"/>
      <c r="O18" s="14" t="s">
        <v>4459</v>
      </c>
      <c r="P18" s="14" t="s">
        <v>41</v>
      </c>
      <c r="Q18" s="14"/>
      <c r="R18" s="14" t="s">
        <v>4382</v>
      </c>
    </row>
    <row r="19" customFormat="false" ht="46.25" hidden="false" customHeight="false" outlineLevel="0" collapsed="false">
      <c r="A19" s="12" t="s">
        <v>4460</v>
      </c>
      <c r="B19" s="12" t="s">
        <v>72</v>
      </c>
      <c r="C19" s="13" t="s">
        <v>4461</v>
      </c>
      <c r="D19" s="13" t="s">
        <v>4462</v>
      </c>
      <c r="E19" s="13" t="s">
        <v>4463</v>
      </c>
      <c r="F19" s="13" t="s">
        <v>634</v>
      </c>
      <c r="G19" s="13" t="s">
        <v>4377</v>
      </c>
      <c r="H19" s="13" t="s">
        <v>4206</v>
      </c>
      <c r="I19" s="13" t="s">
        <v>4394</v>
      </c>
      <c r="J19" s="13" t="s">
        <v>4464</v>
      </c>
      <c r="K19" s="13"/>
      <c r="L19" s="14" t="s">
        <v>4465</v>
      </c>
      <c r="M19" s="14" t="s">
        <v>41</v>
      </c>
      <c r="N19" s="14"/>
      <c r="O19" s="14" t="s">
        <v>4465</v>
      </c>
      <c r="P19" s="14" t="s">
        <v>41</v>
      </c>
      <c r="Q19" s="14"/>
      <c r="R19" s="14" t="s">
        <v>4382</v>
      </c>
    </row>
    <row r="20" customFormat="false" ht="46.25" hidden="false" customHeight="false" outlineLevel="0" collapsed="false">
      <c r="A20" s="12" t="s">
        <v>4466</v>
      </c>
      <c r="B20" s="12" t="s">
        <v>72</v>
      </c>
      <c r="C20" s="13" t="s">
        <v>4467</v>
      </c>
      <c r="D20" s="13" t="s">
        <v>4468</v>
      </c>
      <c r="E20" s="13" t="s">
        <v>4469</v>
      </c>
      <c r="F20" s="13" t="s">
        <v>634</v>
      </c>
      <c r="G20" s="13" t="s">
        <v>4377</v>
      </c>
      <c r="H20" s="13" t="s">
        <v>4426</v>
      </c>
      <c r="I20" s="13" t="s">
        <v>4286</v>
      </c>
      <c r="J20" s="13" t="s">
        <v>4470</v>
      </c>
      <c r="K20" s="13"/>
      <c r="L20" s="14" t="s">
        <v>4471</v>
      </c>
      <c r="M20" s="14" t="s">
        <v>43</v>
      </c>
      <c r="N20" s="14" t="s">
        <v>4472</v>
      </c>
      <c r="O20" s="14" t="s">
        <v>4473</v>
      </c>
      <c r="P20" s="14" t="s">
        <v>41</v>
      </c>
      <c r="Q20" s="14"/>
      <c r="R20" s="14" t="s">
        <v>4382</v>
      </c>
    </row>
    <row r="21" customFormat="false" ht="46.25" hidden="false" customHeight="false" outlineLevel="0" collapsed="false">
      <c r="A21" s="12" t="s">
        <v>4474</v>
      </c>
      <c r="B21" s="12" t="s">
        <v>72</v>
      </c>
      <c r="C21" s="13" t="s">
        <v>4475</v>
      </c>
      <c r="D21" s="13" t="s">
        <v>4476</v>
      </c>
      <c r="E21" s="13" t="s">
        <v>4477</v>
      </c>
      <c r="F21" s="13" t="s">
        <v>634</v>
      </c>
      <c r="G21" s="13" t="s">
        <v>4377</v>
      </c>
      <c r="H21" s="13" t="s">
        <v>4244</v>
      </c>
      <c r="I21" s="13" t="s">
        <v>4478</v>
      </c>
      <c r="J21" s="13" t="s">
        <v>4479</v>
      </c>
      <c r="K21" s="13"/>
      <c r="L21" s="14" t="s">
        <v>4480</v>
      </c>
      <c r="M21" s="14" t="s">
        <v>41</v>
      </c>
      <c r="N21" s="14"/>
      <c r="O21" s="14" t="s">
        <v>4480</v>
      </c>
      <c r="P21" s="14" t="s">
        <v>41</v>
      </c>
      <c r="Q21" s="14"/>
      <c r="R21" s="14" t="s">
        <v>4382</v>
      </c>
    </row>
    <row r="22" customFormat="false" ht="46.25" hidden="false" customHeight="false" outlineLevel="0" collapsed="false">
      <c r="A22" s="12" t="s">
        <v>4481</v>
      </c>
      <c r="B22" s="12" t="s">
        <v>72</v>
      </c>
      <c r="C22" s="13" t="s">
        <v>4482</v>
      </c>
      <c r="D22" s="13" t="s">
        <v>4483</v>
      </c>
      <c r="E22" s="13" t="s">
        <v>4484</v>
      </c>
      <c r="F22" s="13" t="s">
        <v>634</v>
      </c>
      <c r="G22" s="13" t="s">
        <v>4377</v>
      </c>
      <c r="H22" s="13" t="s">
        <v>4217</v>
      </c>
      <c r="I22" s="13" t="s">
        <v>4207</v>
      </c>
      <c r="J22" s="13" t="s">
        <v>4485</v>
      </c>
      <c r="K22" s="13" t="s">
        <v>4486</v>
      </c>
      <c r="L22" s="14" t="s">
        <v>4453</v>
      </c>
      <c r="M22" s="14" t="s">
        <v>41</v>
      </c>
      <c r="N22" s="14"/>
      <c r="O22" s="14" t="s">
        <v>4453</v>
      </c>
      <c r="P22" s="14" t="s">
        <v>41</v>
      </c>
      <c r="Q22" s="14"/>
      <c r="R22" s="14" t="s">
        <v>4389</v>
      </c>
    </row>
    <row r="23" customFormat="false" ht="46.25" hidden="false" customHeight="false" outlineLevel="0" collapsed="false">
      <c r="A23" s="12" t="s">
        <v>4487</v>
      </c>
      <c r="B23" s="12" t="s">
        <v>73</v>
      </c>
      <c r="C23" s="13" t="s">
        <v>4488</v>
      </c>
      <c r="D23" s="13" t="s">
        <v>4489</v>
      </c>
      <c r="E23" s="13" t="s">
        <v>4490</v>
      </c>
      <c r="F23" s="13" t="s">
        <v>144</v>
      </c>
      <c r="G23" s="13" t="s">
        <v>4491</v>
      </c>
      <c r="H23" s="13"/>
      <c r="I23" s="13"/>
      <c r="J23" s="13" t="s">
        <v>4492</v>
      </c>
      <c r="K23" s="13"/>
      <c r="L23" s="14" t="s">
        <v>2064</v>
      </c>
      <c r="M23" s="14" t="s">
        <v>43</v>
      </c>
      <c r="N23" s="14" t="s">
        <v>4493</v>
      </c>
      <c r="O23" s="14" t="s">
        <v>4494</v>
      </c>
      <c r="P23" s="14" t="s">
        <v>41</v>
      </c>
      <c r="Q23" s="14"/>
      <c r="R23" s="14" t="s">
        <v>4382</v>
      </c>
    </row>
    <row r="24" customFormat="false" ht="46.25" hidden="false" customHeight="false" outlineLevel="0" collapsed="false">
      <c r="A24" s="12" t="s">
        <v>4495</v>
      </c>
      <c r="B24" s="12" t="s">
        <v>73</v>
      </c>
      <c r="C24" s="13" t="s">
        <v>4496</v>
      </c>
      <c r="D24" s="13" t="s">
        <v>4497</v>
      </c>
      <c r="E24" s="13" t="s">
        <v>4498</v>
      </c>
      <c r="F24" s="13" t="s">
        <v>144</v>
      </c>
      <c r="G24" s="13" t="s">
        <v>4491</v>
      </c>
      <c r="H24" s="13"/>
      <c r="I24" s="13"/>
      <c r="J24" s="13" t="s">
        <v>4499</v>
      </c>
      <c r="K24" s="13"/>
      <c r="L24" s="14" t="s">
        <v>4500</v>
      </c>
      <c r="M24" s="14" t="s">
        <v>41</v>
      </c>
      <c r="N24" s="14"/>
      <c r="O24" s="14" t="s">
        <v>4500</v>
      </c>
      <c r="P24" s="14" t="s">
        <v>41</v>
      </c>
      <c r="Q24" s="14"/>
      <c r="R24" s="14" t="s">
        <v>4389</v>
      </c>
    </row>
    <row r="25" customFormat="false" ht="46.25" hidden="false" customHeight="false" outlineLevel="0" collapsed="false">
      <c r="A25" s="12" t="s">
        <v>4501</v>
      </c>
      <c r="B25" s="12" t="s">
        <v>73</v>
      </c>
      <c r="C25" s="13" t="s">
        <v>4502</v>
      </c>
      <c r="D25" s="13" t="s">
        <v>4503</v>
      </c>
      <c r="E25" s="13" t="s">
        <v>4504</v>
      </c>
      <c r="F25" s="13" t="s">
        <v>144</v>
      </c>
      <c r="G25" s="13" t="s">
        <v>4491</v>
      </c>
      <c r="H25" s="13"/>
      <c r="I25" s="13"/>
      <c r="J25" s="13" t="s">
        <v>4505</v>
      </c>
      <c r="K25" s="13"/>
      <c r="L25" s="14" t="s">
        <v>4401</v>
      </c>
      <c r="M25" s="14" t="s">
        <v>41</v>
      </c>
      <c r="N25" s="14"/>
      <c r="O25" s="14" t="s">
        <v>4401</v>
      </c>
      <c r="P25" s="14" t="s">
        <v>41</v>
      </c>
      <c r="Q25" s="14"/>
      <c r="R25" s="14" t="s">
        <v>4389</v>
      </c>
    </row>
    <row r="26" customFormat="false" ht="57.45" hidden="false" customHeight="false" outlineLevel="0" collapsed="false">
      <c r="A26" s="12" t="s">
        <v>4506</v>
      </c>
      <c r="B26" s="12" t="s">
        <v>73</v>
      </c>
      <c r="C26" s="13" t="s">
        <v>4507</v>
      </c>
      <c r="D26" s="13" t="s">
        <v>4508</v>
      </c>
      <c r="E26" s="13" t="s">
        <v>4509</v>
      </c>
      <c r="F26" s="13" t="s">
        <v>144</v>
      </c>
      <c r="G26" s="13" t="s">
        <v>4491</v>
      </c>
      <c r="H26" s="13"/>
      <c r="I26" s="13"/>
      <c r="J26" s="13" t="s">
        <v>4510</v>
      </c>
      <c r="K26" s="13"/>
      <c r="L26" s="14" t="s">
        <v>4511</v>
      </c>
      <c r="M26" s="14" t="s">
        <v>43</v>
      </c>
      <c r="N26" s="14" t="s">
        <v>4512</v>
      </c>
      <c r="O26" s="14" t="s">
        <v>4494</v>
      </c>
      <c r="P26" s="14" t="s">
        <v>41</v>
      </c>
      <c r="Q26" s="14"/>
      <c r="R26" s="14" t="s">
        <v>4382</v>
      </c>
    </row>
    <row r="27" customFormat="false" ht="46.25" hidden="false" customHeight="false" outlineLevel="0" collapsed="false">
      <c r="A27" s="12" t="s">
        <v>4513</v>
      </c>
      <c r="B27" s="12" t="s">
        <v>73</v>
      </c>
      <c r="C27" s="13" t="s">
        <v>4514</v>
      </c>
      <c r="D27" s="13" t="s">
        <v>4515</v>
      </c>
      <c r="E27" s="13" t="s">
        <v>4516</v>
      </c>
      <c r="F27" s="13" t="s">
        <v>144</v>
      </c>
      <c r="G27" s="13" t="s">
        <v>4491</v>
      </c>
      <c r="H27" s="13"/>
      <c r="I27" s="13"/>
      <c r="J27" s="13" t="s">
        <v>4517</v>
      </c>
      <c r="K27" s="13"/>
      <c r="L27" s="14" t="s">
        <v>4401</v>
      </c>
      <c r="M27" s="14" t="s">
        <v>41</v>
      </c>
      <c r="N27" s="14"/>
      <c r="O27" s="14" t="s">
        <v>4401</v>
      </c>
      <c r="P27" s="14" t="s">
        <v>41</v>
      </c>
      <c r="Q27" s="14"/>
      <c r="R27" s="14" t="s">
        <v>4389</v>
      </c>
    </row>
    <row r="28" customFormat="false" ht="23.85" hidden="false" customHeight="false" outlineLevel="0" collapsed="false">
      <c r="A28" s="12" t="s">
        <v>4518</v>
      </c>
      <c r="B28" s="12" t="s">
        <v>73</v>
      </c>
      <c r="C28" s="13" t="s">
        <v>4519</v>
      </c>
      <c r="D28" s="13" t="s">
        <v>4520</v>
      </c>
      <c r="E28" s="13" t="s">
        <v>4521</v>
      </c>
      <c r="F28" s="13" t="s">
        <v>144</v>
      </c>
      <c r="G28" s="13" t="s">
        <v>4491</v>
      </c>
      <c r="H28" s="13"/>
      <c r="I28" s="13"/>
      <c r="J28" s="13" t="s">
        <v>4522</v>
      </c>
      <c r="K28" s="13"/>
      <c r="L28" s="14" t="s">
        <v>4523</v>
      </c>
      <c r="M28" s="14" t="s">
        <v>41</v>
      </c>
      <c r="N28" s="14"/>
      <c r="O28" s="14" t="s">
        <v>4523</v>
      </c>
      <c r="P28" s="14" t="s">
        <v>41</v>
      </c>
      <c r="Q28" s="14"/>
      <c r="R28" s="14" t="s">
        <v>4389</v>
      </c>
    </row>
    <row r="29" customFormat="false" ht="23.85" hidden="false" customHeight="false" outlineLevel="0" collapsed="false">
      <c r="A29" s="12" t="s">
        <v>4524</v>
      </c>
      <c r="B29" s="12" t="s">
        <v>73</v>
      </c>
      <c r="C29" s="13" t="s">
        <v>4525</v>
      </c>
      <c r="D29" s="13" t="s">
        <v>4526</v>
      </c>
      <c r="E29" s="13" t="s">
        <v>4527</v>
      </c>
      <c r="F29" s="13" t="s">
        <v>144</v>
      </c>
      <c r="G29" s="13" t="s">
        <v>4491</v>
      </c>
      <c r="H29" s="13"/>
      <c r="I29" s="13"/>
      <c r="J29" s="13" t="s">
        <v>4528</v>
      </c>
      <c r="K29" s="13"/>
      <c r="L29" s="14" t="s">
        <v>4529</v>
      </c>
      <c r="M29" s="14" t="s">
        <v>41</v>
      </c>
      <c r="N29" s="14"/>
      <c r="O29" s="14" t="s">
        <v>4529</v>
      </c>
      <c r="P29" s="14" t="s">
        <v>41</v>
      </c>
      <c r="Q29" s="14"/>
      <c r="R29" s="14" t="s">
        <v>4389</v>
      </c>
    </row>
  </sheetData>
  <conditionalFormatting sqref="M5:M29">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P5:P29">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5" min="3" style="0" width="34"/>
    <col collapsed="false" customWidth="true" hidden="false" outlineLevel="0" max="6" min="6" style="0" width="11"/>
    <col collapsed="false" customWidth="true" hidden="false" outlineLevel="0" max="7" min="7" style="0" width="13"/>
    <col collapsed="false" customWidth="true" hidden="false" outlineLevel="0" max="8" min="8" style="0" width="28"/>
    <col collapsed="false" customWidth="true" hidden="false" outlineLevel="0" max="9" min="9" style="0" width="38"/>
    <col collapsed="false" customWidth="true" hidden="false" outlineLevel="0" max="10" min="10" style="0" width="12"/>
    <col collapsed="false" customWidth="true" hidden="false" outlineLevel="0" max="11" min="11" style="0" width="34"/>
    <col collapsed="false" customWidth="true" hidden="false" outlineLevel="0" max="12" min="12" style="0" width="38"/>
    <col collapsed="false" customWidth="true" hidden="false" outlineLevel="0" max="13" min="13" style="0" width="12"/>
    <col collapsed="false" customWidth="true" hidden="false" outlineLevel="0" max="14" min="14" style="0" width="34"/>
    <col collapsed="false" customWidth="true" hidden="false" outlineLevel="0" max="15" min="15" style="0" width="8"/>
  </cols>
  <sheetData>
    <row r="1" customFormat="false" ht="17.35" hidden="false" customHeight="false" outlineLevel="0" collapsed="false">
      <c r="A1" s="1" t="s">
        <v>4530</v>
      </c>
    </row>
    <row r="2" customFormat="false" ht="15" hidden="false" customHeight="false" outlineLevel="0" collapsed="false">
      <c r="A2" s="2" t="s">
        <v>4531</v>
      </c>
    </row>
    <row r="4" customFormat="false" ht="23.85" hidden="false" customHeight="false" outlineLevel="0" collapsed="false">
      <c r="A4" s="8" t="s">
        <v>132</v>
      </c>
      <c r="B4" s="8" t="s">
        <v>40</v>
      </c>
      <c r="C4" s="8" t="s">
        <v>135</v>
      </c>
      <c r="D4" s="8" t="s">
        <v>1244</v>
      </c>
      <c r="E4" s="8" t="s">
        <v>1245</v>
      </c>
      <c r="F4" s="8" t="s">
        <v>1246</v>
      </c>
      <c r="G4" s="8" t="s">
        <v>4532</v>
      </c>
      <c r="H4" s="8" t="s">
        <v>1250</v>
      </c>
      <c r="I4" s="8" t="s">
        <v>4533</v>
      </c>
      <c r="J4" s="8" t="s">
        <v>4198</v>
      </c>
      <c r="K4" s="8" t="s">
        <v>1253</v>
      </c>
      <c r="L4" s="8" t="s">
        <v>4534</v>
      </c>
      <c r="M4" s="8" t="s">
        <v>4200</v>
      </c>
      <c r="N4" s="8" t="s">
        <v>1258</v>
      </c>
      <c r="O4" s="8" t="s">
        <v>1259</v>
      </c>
    </row>
    <row r="5" customFormat="false" ht="15" hidden="false" customHeight="false" outlineLevel="0" collapsed="false">
      <c r="A5" s="12" t="s">
        <v>4535</v>
      </c>
      <c r="B5" s="12" t="s">
        <v>76</v>
      </c>
      <c r="C5" s="13" t="s">
        <v>4536</v>
      </c>
      <c r="D5" s="13" t="s">
        <v>4537</v>
      </c>
      <c r="E5" s="13" t="s">
        <v>4538</v>
      </c>
      <c r="F5" s="13" t="s">
        <v>677</v>
      </c>
      <c r="G5" s="13" t="s">
        <v>677</v>
      </c>
      <c r="H5" s="13"/>
      <c r="I5" s="14"/>
      <c r="J5" s="14"/>
      <c r="K5" s="14"/>
      <c r="L5" s="14" t="s">
        <v>678</v>
      </c>
      <c r="M5" s="14" t="s">
        <v>41</v>
      </c>
      <c r="N5" s="14"/>
      <c r="O5" s="14" t="s">
        <v>4539</v>
      </c>
    </row>
    <row r="6" customFormat="false" ht="15" hidden="false" customHeight="false" outlineLevel="0" collapsed="false">
      <c r="A6" s="12" t="s">
        <v>4540</v>
      </c>
      <c r="B6" s="12" t="s">
        <v>76</v>
      </c>
      <c r="C6" s="13" t="s">
        <v>4541</v>
      </c>
      <c r="D6" s="13" t="s">
        <v>4542</v>
      </c>
      <c r="E6" s="13" t="s">
        <v>4543</v>
      </c>
      <c r="F6" s="13" t="s">
        <v>677</v>
      </c>
      <c r="G6" s="13" t="s">
        <v>677</v>
      </c>
      <c r="H6" s="13"/>
      <c r="I6" s="14"/>
      <c r="J6" s="14"/>
      <c r="K6" s="14"/>
      <c r="L6" s="14" t="s">
        <v>678</v>
      </c>
      <c r="M6" s="14" t="s">
        <v>41</v>
      </c>
      <c r="N6" s="14"/>
      <c r="O6" s="14" t="s">
        <v>4539</v>
      </c>
    </row>
    <row r="7" customFormat="false" ht="15" hidden="false" customHeight="false" outlineLevel="0" collapsed="false">
      <c r="A7" s="12" t="s">
        <v>4544</v>
      </c>
      <c r="B7" s="12" t="s">
        <v>76</v>
      </c>
      <c r="C7" s="13" t="s">
        <v>4545</v>
      </c>
      <c r="D7" s="13" t="s">
        <v>4546</v>
      </c>
      <c r="E7" s="13" t="s">
        <v>4547</v>
      </c>
      <c r="F7" s="13" t="s">
        <v>677</v>
      </c>
      <c r="G7" s="13" t="s">
        <v>677</v>
      </c>
      <c r="H7" s="13"/>
      <c r="I7" s="14"/>
      <c r="J7" s="14"/>
      <c r="K7" s="14"/>
      <c r="L7" s="14" t="s">
        <v>678</v>
      </c>
      <c r="M7" s="14" t="s">
        <v>41</v>
      </c>
      <c r="N7" s="14"/>
      <c r="O7" s="14" t="s">
        <v>4539</v>
      </c>
    </row>
    <row r="8" customFormat="false" ht="15" hidden="false" customHeight="false" outlineLevel="0" collapsed="false">
      <c r="A8" s="12" t="s">
        <v>4548</v>
      </c>
      <c r="B8" s="12" t="s">
        <v>76</v>
      </c>
      <c r="C8" s="13" t="s">
        <v>4549</v>
      </c>
      <c r="D8" s="13" t="s">
        <v>4550</v>
      </c>
      <c r="E8" s="13" t="s">
        <v>4551</v>
      </c>
      <c r="F8" s="13" t="s">
        <v>677</v>
      </c>
      <c r="G8" s="13" t="s">
        <v>677</v>
      </c>
      <c r="H8" s="13"/>
      <c r="I8" s="14"/>
      <c r="J8" s="14"/>
      <c r="K8" s="14"/>
      <c r="L8" s="14" t="s">
        <v>678</v>
      </c>
      <c r="M8" s="14" t="s">
        <v>41</v>
      </c>
      <c r="N8" s="14"/>
      <c r="O8" s="14" t="s">
        <v>4539</v>
      </c>
    </row>
    <row r="9" customFormat="false" ht="15" hidden="false" customHeight="false" outlineLevel="0" collapsed="false">
      <c r="A9" s="12" t="s">
        <v>4552</v>
      </c>
      <c r="B9" s="12" t="s">
        <v>76</v>
      </c>
      <c r="C9" s="13" t="s">
        <v>4553</v>
      </c>
      <c r="D9" s="13" t="s">
        <v>4554</v>
      </c>
      <c r="E9" s="13" t="s">
        <v>4555</v>
      </c>
      <c r="F9" s="13" t="s">
        <v>677</v>
      </c>
      <c r="G9" s="13" t="s">
        <v>677</v>
      </c>
      <c r="H9" s="13"/>
      <c r="I9" s="14"/>
      <c r="J9" s="14"/>
      <c r="K9" s="14"/>
      <c r="L9" s="14" t="s">
        <v>678</v>
      </c>
      <c r="M9" s="14" t="s">
        <v>41</v>
      </c>
      <c r="N9" s="14"/>
      <c r="O9" s="14" t="s">
        <v>4539</v>
      </c>
    </row>
    <row r="10" customFormat="false" ht="15" hidden="false" customHeight="false" outlineLevel="0" collapsed="false">
      <c r="A10" s="12" t="s">
        <v>4556</v>
      </c>
      <c r="B10" s="12" t="s">
        <v>76</v>
      </c>
      <c r="C10" s="13" t="s">
        <v>4557</v>
      </c>
      <c r="D10" s="13" t="s">
        <v>4558</v>
      </c>
      <c r="E10" s="13" t="s">
        <v>4559</v>
      </c>
      <c r="F10" s="13" t="s">
        <v>677</v>
      </c>
      <c r="G10" s="13" t="s">
        <v>677</v>
      </c>
      <c r="H10" s="13"/>
      <c r="I10" s="14"/>
      <c r="J10" s="14"/>
      <c r="K10" s="14"/>
      <c r="L10" s="14" t="s">
        <v>678</v>
      </c>
      <c r="M10" s="14" t="s">
        <v>41</v>
      </c>
      <c r="N10" s="14"/>
      <c r="O10" s="14" t="s">
        <v>4539</v>
      </c>
    </row>
    <row r="11" customFormat="false" ht="23.85" hidden="false" customHeight="false" outlineLevel="0" collapsed="false">
      <c r="A11" s="12" t="s">
        <v>4560</v>
      </c>
      <c r="B11" s="12" t="s">
        <v>77</v>
      </c>
      <c r="C11" s="13" t="s">
        <v>4561</v>
      </c>
      <c r="D11" s="13" t="s">
        <v>4562</v>
      </c>
      <c r="E11" s="13" t="s">
        <v>4563</v>
      </c>
      <c r="F11" s="13" t="s">
        <v>677</v>
      </c>
      <c r="G11" s="13" t="s">
        <v>677</v>
      </c>
      <c r="H11" s="13" t="s">
        <v>4564</v>
      </c>
      <c r="I11" s="14"/>
      <c r="J11" s="14"/>
      <c r="K11" s="14"/>
      <c r="L11" s="14" t="s">
        <v>678</v>
      </c>
      <c r="M11" s="14" t="s">
        <v>41</v>
      </c>
      <c r="N11" s="14"/>
      <c r="O11" s="14" t="s">
        <v>4539</v>
      </c>
    </row>
    <row r="12" customFormat="false" ht="23.85" hidden="false" customHeight="false" outlineLevel="0" collapsed="false">
      <c r="A12" s="12" t="s">
        <v>4565</v>
      </c>
      <c r="B12" s="12" t="s">
        <v>77</v>
      </c>
      <c r="C12" s="13" t="s">
        <v>4566</v>
      </c>
      <c r="D12" s="13" t="s">
        <v>4567</v>
      </c>
      <c r="E12" s="13" t="s">
        <v>4568</v>
      </c>
      <c r="F12" s="13" t="s">
        <v>677</v>
      </c>
      <c r="G12" s="13" t="s">
        <v>677</v>
      </c>
      <c r="H12" s="13" t="s">
        <v>4569</v>
      </c>
      <c r="I12" s="14"/>
      <c r="J12" s="14"/>
      <c r="K12" s="14"/>
      <c r="L12" s="14" t="s">
        <v>678</v>
      </c>
      <c r="M12" s="14" t="s">
        <v>41</v>
      </c>
      <c r="N12" s="14"/>
      <c r="O12" s="14" t="s">
        <v>4539</v>
      </c>
    </row>
    <row r="13" customFormat="false" ht="23.85" hidden="false" customHeight="false" outlineLevel="0" collapsed="false">
      <c r="A13" s="12" t="s">
        <v>4570</v>
      </c>
      <c r="B13" s="12" t="s">
        <v>77</v>
      </c>
      <c r="C13" s="13" t="s">
        <v>4571</v>
      </c>
      <c r="D13" s="13" t="s">
        <v>4572</v>
      </c>
      <c r="E13" s="13" t="s">
        <v>4573</v>
      </c>
      <c r="F13" s="13" t="s">
        <v>677</v>
      </c>
      <c r="G13" s="13" t="s">
        <v>677</v>
      </c>
      <c r="H13" s="13" t="s">
        <v>4574</v>
      </c>
      <c r="I13" s="14"/>
      <c r="J13" s="14"/>
      <c r="K13" s="14"/>
      <c r="L13" s="14" t="s">
        <v>678</v>
      </c>
      <c r="M13" s="14" t="s">
        <v>41</v>
      </c>
      <c r="N13" s="14"/>
      <c r="O13" s="14" t="s">
        <v>4539</v>
      </c>
    </row>
    <row r="14" customFormat="false" ht="23.85" hidden="false" customHeight="false" outlineLevel="0" collapsed="false">
      <c r="A14" s="12" t="s">
        <v>4575</v>
      </c>
      <c r="B14" s="12" t="s">
        <v>77</v>
      </c>
      <c r="C14" s="13" t="s">
        <v>4576</v>
      </c>
      <c r="D14" s="13" t="s">
        <v>4577</v>
      </c>
      <c r="E14" s="13" t="s">
        <v>4578</v>
      </c>
      <c r="F14" s="13" t="s">
        <v>677</v>
      </c>
      <c r="G14" s="13" t="s">
        <v>677</v>
      </c>
      <c r="H14" s="13" t="s">
        <v>4579</v>
      </c>
      <c r="I14" s="14"/>
      <c r="J14" s="14"/>
      <c r="K14" s="14"/>
      <c r="L14" s="14" t="s">
        <v>678</v>
      </c>
      <c r="M14" s="14" t="s">
        <v>41</v>
      </c>
      <c r="N14" s="14"/>
      <c r="O14" s="14" t="s">
        <v>4539</v>
      </c>
    </row>
    <row r="15" customFormat="false" ht="23.85" hidden="false" customHeight="false" outlineLevel="0" collapsed="false">
      <c r="A15" s="12" t="s">
        <v>4580</v>
      </c>
      <c r="B15" s="12" t="s">
        <v>77</v>
      </c>
      <c r="C15" s="13" t="s">
        <v>4581</v>
      </c>
      <c r="D15" s="13" t="s">
        <v>4582</v>
      </c>
      <c r="E15" s="13" t="s">
        <v>4583</v>
      </c>
      <c r="F15" s="13" t="s">
        <v>677</v>
      </c>
      <c r="G15" s="13" t="s">
        <v>677</v>
      </c>
      <c r="H15" s="13" t="s">
        <v>4584</v>
      </c>
      <c r="I15" s="14"/>
      <c r="J15" s="14"/>
      <c r="K15" s="14"/>
      <c r="L15" s="14" t="s">
        <v>678</v>
      </c>
      <c r="M15" s="14" t="s">
        <v>41</v>
      </c>
      <c r="N15" s="14"/>
      <c r="O15" s="14" t="s">
        <v>4539</v>
      </c>
    </row>
    <row r="16" customFormat="false" ht="23.85" hidden="false" customHeight="false" outlineLevel="0" collapsed="false">
      <c r="A16" s="12" t="s">
        <v>4585</v>
      </c>
      <c r="B16" s="12" t="s">
        <v>77</v>
      </c>
      <c r="C16" s="13" t="s">
        <v>4586</v>
      </c>
      <c r="D16" s="13" t="s">
        <v>4587</v>
      </c>
      <c r="E16" s="13" t="s">
        <v>4588</v>
      </c>
      <c r="F16" s="13" t="s">
        <v>677</v>
      </c>
      <c r="G16" s="13" t="s">
        <v>677</v>
      </c>
      <c r="H16" s="13" t="s">
        <v>4589</v>
      </c>
      <c r="I16" s="14"/>
      <c r="J16" s="14"/>
      <c r="K16" s="14"/>
      <c r="L16" s="14" t="s">
        <v>678</v>
      </c>
      <c r="M16" s="14" t="s">
        <v>41</v>
      </c>
      <c r="N16" s="14"/>
      <c r="O16" s="14" t="s">
        <v>4539</v>
      </c>
    </row>
    <row r="17" customFormat="false" ht="15" hidden="false" customHeight="false" outlineLevel="0" collapsed="false">
      <c r="A17" s="12" t="s">
        <v>4590</v>
      </c>
      <c r="B17" s="12" t="s">
        <v>78</v>
      </c>
      <c r="C17" s="13" t="s">
        <v>4591</v>
      </c>
      <c r="D17" s="13" t="s">
        <v>4592</v>
      </c>
      <c r="E17" s="13" t="s">
        <v>4593</v>
      </c>
      <c r="F17" s="13" t="s">
        <v>686</v>
      </c>
      <c r="G17" s="13" t="s">
        <v>686</v>
      </c>
      <c r="H17" s="13" t="s">
        <v>4594</v>
      </c>
      <c r="I17" s="14"/>
      <c r="J17" s="14"/>
      <c r="K17" s="14"/>
      <c r="L17" s="14" t="s">
        <v>613</v>
      </c>
      <c r="M17" s="14" t="s">
        <v>41</v>
      </c>
      <c r="N17" s="14"/>
      <c r="O17" s="14" t="s">
        <v>4539</v>
      </c>
    </row>
    <row r="18" customFormat="false" ht="23.85" hidden="false" customHeight="false" outlineLevel="0" collapsed="false">
      <c r="A18" s="12" t="s">
        <v>4595</v>
      </c>
      <c r="B18" s="12" t="s">
        <v>78</v>
      </c>
      <c r="C18" s="13" t="s">
        <v>4596</v>
      </c>
      <c r="D18" s="13" t="s">
        <v>4597</v>
      </c>
      <c r="E18" s="13" t="s">
        <v>4598</v>
      </c>
      <c r="F18" s="13" t="s">
        <v>686</v>
      </c>
      <c r="G18" s="13" t="s">
        <v>686</v>
      </c>
      <c r="H18" s="13" t="s">
        <v>4599</v>
      </c>
      <c r="I18" s="14"/>
      <c r="J18" s="14"/>
      <c r="K18" s="14"/>
      <c r="L18" s="14" t="s">
        <v>613</v>
      </c>
      <c r="M18" s="14" t="s">
        <v>41</v>
      </c>
      <c r="N18" s="14"/>
      <c r="O18" s="14" t="s">
        <v>4539</v>
      </c>
    </row>
    <row r="19" customFormat="false" ht="23.85" hidden="false" customHeight="false" outlineLevel="0" collapsed="false">
      <c r="A19" s="12" t="s">
        <v>4600</v>
      </c>
      <c r="B19" s="12" t="s">
        <v>78</v>
      </c>
      <c r="C19" s="13" t="s">
        <v>4601</v>
      </c>
      <c r="D19" s="13" t="s">
        <v>4602</v>
      </c>
      <c r="E19" s="13" t="s">
        <v>4603</v>
      </c>
      <c r="F19" s="13" t="s">
        <v>686</v>
      </c>
      <c r="G19" s="13" t="s">
        <v>686</v>
      </c>
      <c r="H19" s="13" t="s">
        <v>4604</v>
      </c>
      <c r="I19" s="14"/>
      <c r="J19" s="14"/>
      <c r="K19" s="14"/>
      <c r="L19" s="14" t="s">
        <v>613</v>
      </c>
      <c r="M19" s="14" t="s">
        <v>41</v>
      </c>
      <c r="N19" s="14"/>
      <c r="O19" s="14" t="s">
        <v>4539</v>
      </c>
    </row>
    <row r="20" customFormat="false" ht="23.85" hidden="false" customHeight="false" outlineLevel="0" collapsed="false">
      <c r="A20" s="12" t="s">
        <v>4605</v>
      </c>
      <c r="B20" s="12" t="s">
        <v>78</v>
      </c>
      <c r="C20" s="13" t="s">
        <v>4606</v>
      </c>
      <c r="D20" s="13" t="s">
        <v>4607</v>
      </c>
      <c r="E20" s="13" t="s">
        <v>4608</v>
      </c>
      <c r="F20" s="13" t="s">
        <v>686</v>
      </c>
      <c r="G20" s="13" t="s">
        <v>686</v>
      </c>
      <c r="H20" s="13" t="s">
        <v>4609</v>
      </c>
      <c r="I20" s="14"/>
      <c r="J20" s="14"/>
      <c r="K20" s="14"/>
      <c r="L20" s="14" t="s">
        <v>613</v>
      </c>
      <c r="M20" s="14" t="s">
        <v>41</v>
      </c>
      <c r="N20" s="14"/>
      <c r="O20" s="14" t="s">
        <v>4539</v>
      </c>
    </row>
    <row r="21" customFormat="false" ht="23.85" hidden="false" customHeight="false" outlineLevel="0" collapsed="false">
      <c r="A21" s="12" t="s">
        <v>4610</v>
      </c>
      <c r="B21" s="12" t="s">
        <v>78</v>
      </c>
      <c r="C21" s="13" t="s">
        <v>4611</v>
      </c>
      <c r="D21" s="13" t="s">
        <v>4612</v>
      </c>
      <c r="E21" s="13" t="s">
        <v>4613</v>
      </c>
      <c r="F21" s="13" t="s">
        <v>686</v>
      </c>
      <c r="G21" s="13" t="s">
        <v>686</v>
      </c>
      <c r="H21" s="13" t="s">
        <v>4260</v>
      </c>
      <c r="I21" s="14"/>
      <c r="J21" s="14"/>
      <c r="K21" s="14"/>
      <c r="L21" s="14" t="s">
        <v>613</v>
      </c>
      <c r="M21" s="14" t="s">
        <v>41</v>
      </c>
      <c r="N21" s="14"/>
      <c r="O21" s="14" t="s">
        <v>4539</v>
      </c>
    </row>
    <row r="22" customFormat="false" ht="23.85" hidden="false" customHeight="false" outlineLevel="0" collapsed="false">
      <c r="A22" s="12" t="s">
        <v>4614</v>
      </c>
      <c r="B22" s="12" t="s">
        <v>78</v>
      </c>
      <c r="C22" s="13" t="s">
        <v>4615</v>
      </c>
      <c r="D22" s="13" t="s">
        <v>4616</v>
      </c>
      <c r="E22" s="13" t="s">
        <v>4617</v>
      </c>
      <c r="F22" s="13" t="s">
        <v>686</v>
      </c>
      <c r="G22" s="13" t="s">
        <v>686</v>
      </c>
      <c r="H22" s="13" t="s">
        <v>4618</v>
      </c>
      <c r="I22" s="14"/>
      <c r="J22" s="14"/>
      <c r="K22" s="14"/>
      <c r="L22" s="14" t="s">
        <v>613</v>
      </c>
      <c r="M22" s="14" t="s">
        <v>41</v>
      </c>
      <c r="N22" s="14"/>
      <c r="O22" s="14" t="s">
        <v>4539</v>
      </c>
    </row>
    <row r="23" customFormat="false" ht="23.85" hidden="false" customHeight="false" outlineLevel="0" collapsed="false">
      <c r="A23" s="12" t="s">
        <v>4619</v>
      </c>
      <c r="B23" s="12" t="s">
        <v>78</v>
      </c>
      <c r="C23" s="13" t="s">
        <v>4620</v>
      </c>
      <c r="D23" s="13" t="s">
        <v>4621</v>
      </c>
      <c r="E23" s="13" t="s">
        <v>4622</v>
      </c>
      <c r="F23" s="13" t="s">
        <v>686</v>
      </c>
      <c r="G23" s="13" t="s">
        <v>686</v>
      </c>
      <c r="H23" s="13" t="s">
        <v>4623</v>
      </c>
      <c r="I23" s="14"/>
      <c r="J23" s="14"/>
      <c r="K23" s="14"/>
      <c r="L23" s="14" t="s">
        <v>613</v>
      </c>
      <c r="M23" s="14" t="s">
        <v>41</v>
      </c>
      <c r="N23" s="14"/>
      <c r="O23" s="14" t="s">
        <v>4539</v>
      </c>
    </row>
    <row r="24" customFormat="false" ht="23.85" hidden="false" customHeight="false" outlineLevel="0" collapsed="false">
      <c r="A24" s="12" t="s">
        <v>4624</v>
      </c>
      <c r="B24" s="12" t="s">
        <v>78</v>
      </c>
      <c r="C24" s="13" t="s">
        <v>4625</v>
      </c>
      <c r="D24" s="13" t="s">
        <v>4626</v>
      </c>
      <c r="E24" s="13" t="s">
        <v>4627</v>
      </c>
      <c r="F24" s="13" t="s">
        <v>686</v>
      </c>
      <c r="G24" s="13" t="s">
        <v>686</v>
      </c>
      <c r="H24" s="13" t="s">
        <v>4628</v>
      </c>
      <c r="I24" s="14"/>
      <c r="J24" s="14"/>
      <c r="K24" s="14"/>
      <c r="L24" s="14" t="s">
        <v>613</v>
      </c>
      <c r="M24" s="14" t="s">
        <v>41</v>
      </c>
      <c r="N24" s="14"/>
      <c r="O24" s="14" t="s">
        <v>4539</v>
      </c>
    </row>
    <row r="25" customFormat="false" ht="15" hidden="false" customHeight="false" outlineLevel="0" collapsed="false">
      <c r="A25" s="12" t="s">
        <v>4629</v>
      </c>
      <c r="B25" s="12" t="s">
        <v>78</v>
      </c>
      <c r="C25" s="13" t="s">
        <v>4630</v>
      </c>
      <c r="D25" s="13" t="s">
        <v>4631</v>
      </c>
      <c r="E25" s="13" t="s">
        <v>4632</v>
      </c>
      <c r="F25" s="13" t="s">
        <v>686</v>
      </c>
      <c r="G25" s="13" t="s">
        <v>686</v>
      </c>
      <c r="H25" s="13" t="s">
        <v>4301</v>
      </c>
      <c r="I25" s="14"/>
      <c r="J25" s="14"/>
      <c r="K25" s="14"/>
      <c r="L25" s="14" t="s">
        <v>613</v>
      </c>
      <c r="M25" s="14" t="s">
        <v>41</v>
      </c>
      <c r="N25" s="14"/>
      <c r="O25" s="14" t="s">
        <v>4539</v>
      </c>
    </row>
    <row r="26" customFormat="false" ht="23.85" hidden="false" customHeight="false" outlineLevel="0" collapsed="false">
      <c r="A26" s="12" t="s">
        <v>4633</v>
      </c>
      <c r="B26" s="12" t="s">
        <v>79</v>
      </c>
      <c r="C26" s="13" t="s">
        <v>4634</v>
      </c>
      <c r="D26" s="13" t="s">
        <v>4635</v>
      </c>
      <c r="E26" s="13" t="s">
        <v>4636</v>
      </c>
      <c r="F26" s="13" t="s">
        <v>689</v>
      </c>
      <c r="G26" s="13" t="s">
        <v>689</v>
      </c>
      <c r="H26" s="13" t="s">
        <v>4637</v>
      </c>
      <c r="I26" s="14"/>
      <c r="J26" s="14"/>
      <c r="K26" s="14"/>
      <c r="L26" s="14" t="s">
        <v>690</v>
      </c>
      <c r="M26" s="14" t="s">
        <v>41</v>
      </c>
      <c r="N26" s="14"/>
      <c r="O26" s="14" t="s">
        <v>4539</v>
      </c>
    </row>
    <row r="27" customFormat="false" ht="23.85" hidden="false" customHeight="false" outlineLevel="0" collapsed="false">
      <c r="A27" s="12" t="s">
        <v>4638</v>
      </c>
      <c r="B27" s="12" t="s">
        <v>79</v>
      </c>
      <c r="C27" s="13" t="s">
        <v>4639</v>
      </c>
      <c r="D27" s="13" t="s">
        <v>4640</v>
      </c>
      <c r="E27" s="13" t="s">
        <v>4641</v>
      </c>
      <c r="F27" s="13" t="s">
        <v>686</v>
      </c>
      <c r="G27" s="13" t="s">
        <v>686</v>
      </c>
      <c r="H27" s="13" t="s">
        <v>4642</v>
      </c>
      <c r="I27" s="14"/>
      <c r="J27" s="14"/>
      <c r="K27" s="14"/>
      <c r="L27" s="14" t="s">
        <v>613</v>
      </c>
      <c r="M27" s="14" t="s">
        <v>41</v>
      </c>
      <c r="N27" s="14"/>
      <c r="O27" s="14" t="s">
        <v>4539</v>
      </c>
    </row>
    <row r="28" customFormat="false" ht="15" hidden="false" customHeight="false" outlineLevel="0" collapsed="false">
      <c r="A28" s="12" t="s">
        <v>4643</v>
      </c>
      <c r="B28" s="12" t="s">
        <v>79</v>
      </c>
      <c r="C28" s="13" t="s">
        <v>4644</v>
      </c>
      <c r="D28" s="13" t="s">
        <v>4645</v>
      </c>
      <c r="E28" s="13" t="s">
        <v>4646</v>
      </c>
      <c r="F28" s="13" t="s">
        <v>689</v>
      </c>
      <c r="G28" s="13" t="s">
        <v>689</v>
      </c>
      <c r="H28" s="13"/>
      <c r="I28" s="14"/>
      <c r="J28" s="14"/>
      <c r="K28" s="14"/>
      <c r="L28" s="14" t="s">
        <v>690</v>
      </c>
      <c r="M28" s="14" t="s">
        <v>41</v>
      </c>
      <c r="N28" s="14"/>
      <c r="O28" s="14" t="s">
        <v>4539</v>
      </c>
    </row>
    <row r="29" customFormat="false" ht="15" hidden="false" customHeight="false" outlineLevel="0" collapsed="false">
      <c r="A29" s="12" t="s">
        <v>4647</v>
      </c>
      <c r="B29" s="12" t="s">
        <v>79</v>
      </c>
      <c r="C29" s="13" t="s">
        <v>4648</v>
      </c>
      <c r="D29" s="13" t="s">
        <v>4649</v>
      </c>
      <c r="E29" s="13" t="s">
        <v>4650</v>
      </c>
      <c r="F29" s="13" t="s">
        <v>689</v>
      </c>
      <c r="G29" s="13" t="s">
        <v>689</v>
      </c>
      <c r="H29" s="13" t="s">
        <v>4651</v>
      </c>
      <c r="I29" s="14"/>
      <c r="J29" s="14"/>
      <c r="K29" s="14"/>
      <c r="L29" s="14" t="s">
        <v>690</v>
      </c>
      <c r="M29" s="14" t="s">
        <v>41</v>
      </c>
      <c r="N29" s="14"/>
      <c r="O29" s="14" t="s">
        <v>4539</v>
      </c>
    </row>
    <row r="30" customFormat="false" ht="15" hidden="false" customHeight="false" outlineLevel="0" collapsed="false">
      <c r="A30" s="12" t="s">
        <v>4652</v>
      </c>
      <c r="B30" s="12" t="s">
        <v>79</v>
      </c>
      <c r="C30" s="13" t="s">
        <v>4653</v>
      </c>
      <c r="D30" s="13" t="s">
        <v>4654</v>
      </c>
      <c r="E30" s="13" t="s">
        <v>4655</v>
      </c>
      <c r="F30" s="13" t="s">
        <v>686</v>
      </c>
      <c r="G30" s="13" t="s">
        <v>686</v>
      </c>
      <c r="H30" s="13" t="s">
        <v>4656</v>
      </c>
      <c r="I30" s="14"/>
      <c r="J30" s="14"/>
      <c r="K30" s="14"/>
      <c r="L30" s="14" t="s">
        <v>613</v>
      </c>
      <c r="M30" s="14" t="s">
        <v>41</v>
      </c>
      <c r="N30" s="14"/>
      <c r="O30" s="14" t="s">
        <v>4539</v>
      </c>
    </row>
    <row r="31" customFormat="false" ht="15" hidden="false" customHeight="false" outlineLevel="0" collapsed="false">
      <c r="A31" s="12" t="s">
        <v>4657</v>
      </c>
      <c r="B31" s="12" t="s">
        <v>79</v>
      </c>
      <c r="C31" s="13" t="s">
        <v>4658</v>
      </c>
      <c r="D31" s="13" t="s">
        <v>4659</v>
      </c>
      <c r="E31" s="13" t="s">
        <v>4660</v>
      </c>
      <c r="F31" s="13" t="s">
        <v>689</v>
      </c>
      <c r="G31" s="13" t="s">
        <v>689</v>
      </c>
      <c r="H31" s="13"/>
      <c r="I31" s="14"/>
      <c r="J31" s="14"/>
      <c r="K31" s="14"/>
      <c r="L31" s="14" t="s">
        <v>690</v>
      </c>
      <c r="M31" s="14" t="s">
        <v>41</v>
      </c>
      <c r="N31" s="14"/>
      <c r="O31" s="14" t="s">
        <v>4539</v>
      </c>
    </row>
    <row r="32" customFormat="false" ht="23.85" hidden="false" customHeight="false" outlineLevel="0" collapsed="false">
      <c r="A32" s="12" t="s">
        <v>4661</v>
      </c>
      <c r="B32" s="12" t="s">
        <v>79</v>
      </c>
      <c r="C32" s="13" t="s">
        <v>4662</v>
      </c>
      <c r="D32" s="13" t="s">
        <v>4663</v>
      </c>
      <c r="E32" s="13" t="s">
        <v>4664</v>
      </c>
      <c r="F32" s="13" t="s">
        <v>686</v>
      </c>
      <c r="G32" s="13" t="s">
        <v>686</v>
      </c>
      <c r="H32" s="13" t="s">
        <v>4665</v>
      </c>
      <c r="I32" s="14"/>
      <c r="J32" s="14"/>
      <c r="K32" s="14"/>
      <c r="L32" s="14" t="s">
        <v>613</v>
      </c>
      <c r="M32" s="14" t="s">
        <v>41</v>
      </c>
      <c r="N32" s="14"/>
      <c r="O32" s="14" t="s">
        <v>4539</v>
      </c>
    </row>
    <row r="33" customFormat="false" ht="23.85" hidden="false" customHeight="false" outlineLevel="0" collapsed="false">
      <c r="A33" s="12" t="s">
        <v>4666</v>
      </c>
      <c r="B33" s="12" t="s">
        <v>79</v>
      </c>
      <c r="C33" s="13" t="s">
        <v>4667</v>
      </c>
      <c r="D33" s="13" t="s">
        <v>4668</v>
      </c>
      <c r="E33" s="13" t="s">
        <v>4669</v>
      </c>
      <c r="F33" s="13" t="s">
        <v>689</v>
      </c>
      <c r="G33" s="13" t="s">
        <v>689</v>
      </c>
      <c r="H33" s="13"/>
      <c r="I33" s="14"/>
      <c r="J33" s="14"/>
      <c r="K33" s="14"/>
      <c r="L33" s="14" t="s">
        <v>690</v>
      </c>
      <c r="M33" s="14" t="s">
        <v>41</v>
      </c>
      <c r="N33" s="14"/>
      <c r="O33" s="14" t="s">
        <v>4539</v>
      </c>
    </row>
    <row r="34" customFormat="false" ht="23.85" hidden="false" customHeight="false" outlineLevel="0" collapsed="false">
      <c r="A34" s="12" t="s">
        <v>4670</v>
      </c>
      <c r="B34" s="12" t="s">
        <v>79</v>
      </c>
      <c r="C34" s="13" t="s">
        <v>4671</v>
      </c>
      <c r="D34" s="13" t="s">
        <v>4672</v>
      </c>
      <c r="E34" s="13" t="s">
        <v>4673</v>
      </c>
      <c r="F34" s="13" t="s">
        <v>689</v>
      </c>
      <c r="G34" s="13" t="s">
        <v>689</v>
      </c>
      <c r="H34" s="13" t="s">
        <v>4674</v>
      </c>
      <c r="I34" s="14"/>
      <c r="J34" s="14"/>
      <c r="K34" s="14"/>
      <c r="L34" s="14" t="s">
        <v>690</v>
      </c>
      <c r="M34" s="14" t="s">
        <v>41</v>
      </c>
      <c r="N34" s="14"/>
      <c r="O34" s="14" t="s">
        <v>4539</v>
      </c>
    </row>
  </sheetData>
  <conditionalFormatting sqref="J5:J34">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M5:M34">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20"/>
    <col collapsed="false" customWidth="true" hidden="false" outlineLevel="0" max="4" min="4" style="0" width="18"/>
    <col collapsed="false" customWidth="true" hidden="false" outlineLevel="0" max="5" min="5" style="0" width="30"/>
    <col collapsed="false" customWidth="true" hidden="false" outlineLevel="0" max="6" min="6" style="0" width="34"/>
    <col collapsed="false" customWidth="true" hidden="false" outlineLevel="0" max="7" min="7" style="0" width="9"/>
    <col collapsed="false" customWidth="true" hidden="false" outlineLevel="0" max="8" min="8" style="0" width="8"/>
    <col collapsed="false" customWidth="true" hidden="false" outlineLevel="0" max="9" min="9" style="0" width="30"/>
    <col collapsed="false" customWidth="true" hidden="false" outlineLevel="0" max="10" min="10" style="0" width="9"/>
  </cols>
  <sheetData>
    <row r="1" customFormat="false" ht="17.35" hidden="false" customHeight="false" outlineLevel="0" collapsed="false">
      <c r="A1" s="1" t="s">
        <v>4675</v>
      </c>
    </row>
    <row r="2" customFormat="false" ht="15" hidden="false" customHeight="false" outlineLevel="0" collapsed="false">
      <c r="A2" s="2" t="s">
        <v>4676</v>
      </c>
    </row>
    <row r="4" customFormat="false" ht="23.85" hidden="false" customHeight="false" outlineLevel="0" collapsed="false">
      <c r="A4" s="8" t="s">
        <v>132</v>
      </c>
      <c r="B4" s="8" t="s">
        <v>135</v>
      </c>
      <c r="C4" s="8" t="s">
        <v>4677</v>
      </c>
      <c r="D4" s="8" t="s">
        <v>4678</v>
      </c>
      <c r="E4" s="8" t="s">
        <v>4679</v>
      </c>
      <c r="F4" s="8" t="s">
        <v>4680</v>
      </c>
      <c r="G4" s="8" t="s">
        <v>4681</v>
      </c>
      <c r="H4" s="8" t="s">
        <v>1259</v>
      </c>
      <c r="I4" s="8" t="s">
        <v>4682</v>
      </c>
      <c r="J4" s="8" t="s">
        <v>4683</v>
      </c>
    </row>
    <row r="5" customFormat="false" ht="23.85" hidden="false" customHeight="false" outlineLevel="0" collapsed="false">
      <c r="A5" s="12" t="s">
        <v>4684</v>
      </c>
      <c r="B5" s="13" t="s">
        <v>4685</v>
      </c>
      <c r="C5" s="12" t="s">
        <v>4686</v>
      </c>
      <c r="D5" s="12" t="s">
        <v>4687</v>
      </c>
      <c r="E5" s="13" t="s">
        <v>4244</v>
      </c>
      <c r="F5" s="14" t="s">
        <v>4244</v>
      </c>
      <c r="G5" s="15" t="s">
        <v>4688</v>
      </c>
      <c r="H5" s="15" t="s">
        <v>4689</v>
      </c>
      <c r="I5" s="14"/>
      <c r="J5" s="15"/>
    </row>
    <row r="6" customFormat="false" ht="23.85" hidden="false" customHeight="false" outlineLevel="0" collapsed="false">
      <c r="A6" s="12" t="s">
        <v>4684</v>
      </c>
      <c r="B6" s="13" t="s">
        <v>4685</v>
      </c>
      <c r="C6" s="12" t="s">
        <v>4686</v>
      </c>
      <c r="D6" s="12" t="s">
        <v>4690</v>
      </c>
      <c r="E6" s="13" t="s">
        <v>4691</v>
      </c>
      <c r="F6" s="14" t="s">
        <v>4691</v>
      </c>
      <c r="G6" s="15" t="s">
        <v>4688</v>
      </c>
      <c r="H6" s="15" t="s">
        <v>4689</v>
      </c>
      <c r="I6" s="14"/>
      <c r="J6" s="15"/>
    </row>
    <row r="7" customFormat="false" ht="23.85" hidden="false" customHeight="false" outlineLevel="0" collapsed="false">
      <c r="A7" s="12" t="s">
        <v>4684</v>
      </c>
      <c r="B7" s="13" t="s">
        <v>4685</v>
      </c>
      <c r="C7" s="12" t="s">
        <v>4686</v>
      </c>
      <c r="D7" s="12" t="s">
        <v>4692</v>
      </c>
      <c r="E7" s="13" t="s">
        <v>4693</v>
      </c>
      <c r="F7" s="14" t="s">
        <v>4694</v>
      </c>
      <c r="G7" s="15" t="s">
        <v>4688</v>
      </c>
      <c r="H7" s="15" t="s">
        <v>4689</v>
      </c>
      <c r="I7" s="14"/>
      <c r="J7" s="15"/>
    </row>
    <row r="8" customFormat="false" ht="23.85" hidden="false" customHeight="false" outlineLevel="0" collapsed="false">
      <c r="A8" s="12" t="s">
        <v>4684</v>
      </c>
      <c r="B8" s="13" t="s">
        <v>4685</v>
      </c>
      <c r="C8" s="12" t="s">
        <v>4686</v>
      </c>
      <c r="D8" s="12" t="s">
        <v>4695</v>
      </c>
      <c r="E8" s="13" t="s">
        <v>4227</v>
      </c>
      <c r="F8" s="14" t="s">
        <v>4696</v>
      </c>
      <c r="G8" s="15" t="s">
        <v>4688</v>
      </c>
      <c r="H8" s="15" t="s">
        <v>4689</v>
      </c>
      <c r="I8" s="14"/>
      <c r="J8" s="15"/>
    </row>
    <row r="9" customFormat="false" ht="23.85" hidden="false" customHeight="false" outlineLevel="0" collapsed="false">
      <c r="A9" s="12" t="s">
        <v>4684</v>
      </c>
      <c r="B9" s="13" t="s">
        <v>4685</v>
      </c>
      <c r="C9" s="12" t="s">
        <v>4686</v>
      </c>
      <c r="D9" s="12" t="s">
        <v>4697</v>
      </c>
      <c r="E9" s="13" t="s">
        <v>4698</v>
      </c>
      <c r="F9" s="14" t="s">
        <v>4699</v>
      </c>
      <c r="G9" s="15" t="s">
        <v>4688</v>
      </c>
      <c r="H9" s="15" t="s">
        <v>4689</v>
      </c>
      <c r="I9" s="14"/>
      <c r="J9" s="15"/>
    </row>
    <row r="10" customFormat="false" ht="23.85" hidden="false" customHeight="false" outlineLevel="0" collapsed="false">
      <c r="A10" s="12" t="s">
        <v>4684</v>
      </c>
      <c r="B10" s="13" t="s">
        <v>4685</v>
      </c>
      <c r="C10" s="12" t="s">
        <v>4686</v>
      </c>
      <c r="D10" s="12" t="s">
        <v>4700</v>
      </c>
      <c r="E10" s="13" t="s">
        <v>4701</v>
      </c>
      <c r="F10" s="14" t="s">
        <v>4702</v>
      </c>
      <c r="G10" s="15" t="s">
        <v>4688</v>
      </c>
      <c r="H10" s="15" t="s">
        <v>4689</v>
      </c>
      <c r="I10" s="14"/>
      <c r="J10" s="15"/>
    </row>
    <row r="11" customFormat="false" ht="23.85" hidden="false" customHeight="false" outlineLevel="0" collapsed="false">
      <c r="A11" s="12" t="s">
        <v>4684</v>
      </c>
      <c r="B11" s="13" t="s">
        <v>4685</v>
      </c>
      <c r="C11" s="12" t="s">
        <v>4686</v>
      </c>
      <c r="D11" s="12" t="s">
        <v>4703</v>
      </c>
      <c r="E11" s="13" t="s">
        <v>4704</v>
      </c>
      <c r="F11" s="14" t="s">
        <v>4705</v>
      </c>
      <c r="G11" s="15" t="s">
        <v>4706</v>
      </c>
      <c r="H11" s="15" t="s">
        <v>4689</v>
      </c>
      <c r="I11" s="14"/>
      <c r="J11" s="15"/>
    </row>
    <row r="12" customFormat="false" ht="15" hidden="false" customHeight="false" outlineLevel="0" collapsed="false">
      <c r="A12" s="12" t="s">
        <v>4707</v>
      </c>
      <c r="B12" s="13" t="s">
        <v>4708</v>
      </c>
      <c r="C12" s="12" t="s">
        <v>4686</v>
      </c>
      <c r="D12" s="12" t="s">
        <v>4687</v>
      </c>
      <c r="E12" s="13" t="s">
        <v>4236</v>
      </c>
      <c r="F12" s="14" t="s">
        <v>4236</v>
      </c>
      <c r="G12" s="15" t="s">
        <v>4688</v>
      </c>
      <c r="H12" s="15" t="s">
        <v>4709</v>
      </c>
      <c r="I12" s="14"/>
      <c r="J12" s="15"/>
    </row>
    <row r="13" customFormat="false" ht="15" hidden="false" customHeight="false" outlineLevel="0" collapsed="false">
      <c r="A13" s="12" t="s">
        <v>4707</v>
      </c>
      <c r="B13" s="13" t="s">
        <v>4708</v>
      </c>
      <c r="C13" s="12" t="s">
        <v>4686</v>
      </c>
      <c r="D13" s="12" t="s">
        <v>4690</v>
      </c>
      <c r="E13" s="13" t="s">
        <v>4691</v>
      </c>
      <c r="F13" s="14" t="s">
        <v>4691</v>
      </c>
      <c r="G13" s="15" t="s">
        <v>4688</v>
      </c>
      <c r="H13" s="15" t="s">
        <v>4709</v>
      </c>
      <c r="I13" s="14"/>
      <c r="J13" s="15"/>
    </row>
    <row r="14" customFormat="false" ht="15" hidden="false" customHeight="false" outlineLevel="0" collapsed="false">
      <c r="A14" s="12" t="s">
        <v>4707</v>
      </c>
      <c r="B14" s="13" t="s">
        <v>4708</v>
      </c>
      <c r="C14" s="12" t="s">
        <v>4686</v>
      </c>
      <c r="D14" s="12" t="s">
        <v>4692</v>
      </c>
      <c r="E14" s="13" t="s">
        <v>4710</v>
      </c>
      <c r="F14" s="14" t="s">
        <v>4711</v>
      </c>
      <c r="G14" s="15" t="s">
        <v>4688</v>
      </c>
      <c r="H14" s="15" t="s">
        <v>4709</v>
      </c>
      <c r="I14" s="14"/>
      <c r="J14" s="15"/>
    </row>
    <row r="15" customFormat="false" ht="15" hidden="false" customHeight="false" outlineLevel="0" collapsed="false">
      <c r="A15" s="12" t="s">
        <v>4707</v>
      </c>
      <c r="B15" s="13" t="s">
        <v>4708</v>
      </c>
      <c r="C15" s="12" t="s">
        <v>4686</v>
      </c>
      <c r="D15" s="12" t="s">
        <v>4695</v>
      </c>
      <c r="E15" s="13" t="s">
        <v>4227</v>
      </c>
      <c r="F15" s="14" t="s">
        <v>4696</v>
      </c>
      <c r="G15" s="15" t="s">
        <v>4688</v>
      </c>
      <c r="H15" s="15" t="s">
        <v>4709</v>
      </c>
      <c r="I15" s="14"/>
      <c r="J15" s="15"/>
    </row>
    <row r="16" customFormat="false" ht="15" hidden="false" customHeight="false" outlineLevel="0" collapsed="false">
      <c r="A16" s="12" t="s">
        <v>4707</v>
      </c>
      <c r="B16" s="13" t="s">
        <v>4708</v>
      </c>
      <c r="C16" s="12" t="s">
        <v>4686</v>
      </c>
      <c r="D16" s="12" t="s">
        <v>4697</v>
      </c>
      <c r="E16" s="13" t="s">
        <v>4712</v>
      </c>
      <c r="F16" s="14" t="s">
        <v>4713</v>
      </c>
      <c r="G16" s="15" t="s">
        <v>4688</v>
      </c>
      <c r="H16" s="15" t="s">
        <v>4709</v>
      </c>
      <c r="I16" s="14"/>
      <c r="J16" s="15"/>
    </row>
    <row r="17" customFormat="false" ht="15" hidden="false" customHeight="false" outlineLevel="0" collapsed="false">
      <c r="A17" s="12" t="s">
        <v>4707</v>
      </c>
      <c r="B17" s="13" t="s">
        <v>4708</v>
      </c>
      <c r="C17" s="12" t="s">
        <v>4686</v>
      </c>
      <c r="D17" s="12" t="s">
        <v>4714</v>
      </c>
      <c r="E17" s="13" t="s">
        <v>4715</v>
      </c>
      <c r="F17" s="14" t="s">
        <v>4705</v>
      </c>
      <c r="G17" s="15" t="s">
        <v>4688</v>
      </c>
      <c r="H17" s="15" t="s">
        <v>4709</v>
      </c>
      <c r="I17" s="14"/>
      <c r="J17" s="15"/>
    </row>
    <row r="18" customFormat="false" ht="23.85" hidden="false" customHeight="false" outlineLevel="0" collapsed="false">
      <c r="A18" s="12" t="s">
        <v>4716</v>
      </c>
      <c r="B18" s="13" t="s">
        <v>4717</v>
      </c>
      <c r="C18" s="12" t="s">
        <v>4686</v>
      </c>
      <c r="D18" s="12" t="s">
        <v>4687</v>
      </c>
      <c r="E18" s="13" t="s">
        <v>4348</v>
      </c>
      <c r="F18" s="14" t="s">
        <v>4348</v>
      </c>
      <c r="G18" s="15" t="s">
        <v>4688</v>
      </c>
      <c r="H18" s="15" t="s">
        <v>4709</v>
      </c>
      <c r="I18" s="14" t="s">
        <v>4348</v>
      </c>
      <c r="J18" s="15" t="s">
        <v>4688</v>
      </c>
    </row>
    <row r="19" customFormat="false" ht="23.85" hidden="false" customHeight="false" outlineLevel="0" collapsed="false">
      <c r="A19" s="12" t="s">
        <v>4716</v>
      </c>
      <c r="B19" s="13" t="s">
        <v>4717</v>
      </c>
      <c r="C19" s="12" t="s">
        <v>4686</v>
      </c>
      <c r="D19" s="12" t="s">
        <v>4690</v>
      </c>
      <c r="E19" s="13" t="s">
        <v>4718</v>
      </c>
      <c r="F19" s="14" t="s">
        <v>4718</v>
      </c>
      <c r="G19" s="15" t="s">
        <v>4688</v>
      </c>
      <c r="H19" s="15" t="s">
        <v>4709</v>
      </c>
      <c r="I19" s="14" t="s">
        <v>4718</v>
      </c>
      <c r="J19" s="15" t="s">
        <v>4688</v>
      </c>
    </row>
    <row r="20" customFormat="false" ht="23.85" hidden="false" customHeight="false" outlineLevel="0" collapsed="false">
      <c r="A20" s="12" t="s">
        <v>4716</v>
      </c>
      <c r="B20" s="13" t="s">
        <v>4717</v>
      </c>
      <c r="C20" s="12" t="s">
        <v>4686</v>
      </c>
      <c r="D20" s="12" t="s">
        <v>4692</v>
      </c>
      <c r="E20" s="13" t="s">
        <v>4719</v>
      </c>
      <c r="F20" s="14" t="s">
        <v>4720</v>
      </c>
      <c r="G20" s="15" t="s">
        <v>4688</v>
      </c>
      <c r="H20" s="15" t="s">
        <v>4709</v>
      </c>
      <c r="I20" s="14" t="s">
        <v>4720</v>
      </c>
      <c r="J20" s="15" t="s">
        <v>4688</v>
      </c>
    </row>
    <row r="21" customFormat="false" ht="23.85" hidden="false" customHeight="false" outlineLevel="0" collapsed="false">
      <c r="A21" s="12" t="s">
        <v>4716</v>
      </c>
      <c r="B21" s="13" t="s">
        <v>4717</v>
      </c>
      <c r="C21" s="12" t="s">
        <v>4686</v>
      </c>
      <c r="D21" s="12" t="s">
        <v>4695</v>
      </c>
      <c r="E21" s="13" t="s">
        <v>4286</v>
      </c>
      <c r="F21" s="14" t="s">
        <v>4721</v>
      </c>
      <c r="G21" s="15" t="s">
        <v>4688</v>
      </c>
      <c r="H21" s="15" t="s">
        <v>4709</v>
      </c>
      <c r="I21" s="14" t="s">
        <v>4721</v>
      </c>
      <c r="J21" s="15" t="s">
        <v>4688</v>
      </c>
    </row>
    <row r="22" customFormat="false" ht="23.85" hidden="false" customHeight="false" outlineLevel="0" collapsed="false">
      <c r="A22" s="12" t="s">
        <v>4716</v>
      </c>
      <c r="B22" s="13" t="s">
        <v>4717</v>
      </c>
      <c r="C22" s="12" t="s">
        <v>4686</v>
      </c>
      <c r="D22" s="12" t="s">
        <v>4703</v>
      </c>
      <c r="E22" s="13" t="s">
        <v>4722</v>
      </c>
      <c r="F22" s="14" t="s">
        <v>4723</v>
      </c>
      <c r="G22" s="15" t="s">
        <v>4688</v>
      </c>
      <c r="H22" s="15" t="s">
        <v>4709</v>
      </c>
      <c r="I22" s="14" t="s">
        <v>4723</v>
      </c>
      <c r="J22" s="15" t="s">
        <v>4688</v>
      </c>
    </row>
    <row r="23" customFormat="false" ht="23.85" hidden="false" customHeight="false" outlineLevel="0" collapsed="false">
      <c r="A23" s="12" t="s">
        <v>4716</v>
      </c>
      <c r="B23" s="13" t="s">
        <v>4717</v>
      </c>
      <c r="C23" s="12" t="s">
        <v>4686</v>
      </c>
      <c r="D23" s="12" t="s">
        <v>4724</v>
      </c>
      <c r="E23" s="13" t="s">
        <v>4725</v>
      </c>
      <c r="F23" s="14" t="s">
        <v>4723</v>
      </c>
      <c r="G23" s="15" t="s">
        <v>4688</v>
      </c>
      <c r="H23" s="15" t="s">
        <v>4709</v>
      </c>
      <c r="I23" s="14" t="s">
        <v>4723</v>
      </c>
      <c r="J23" s="15" t="s">
        <v>4688</v>
      </c>
    </row>
    <row r="24" customFormat="false" ht="15" hidden="false" customHeight="false" outlineLevel="0" collapsed="false">
      <c r="A24" s="12" t="s">
        <v>4726</v>
      </c>
      <c r="B24" s="13" t="s">
        <v>4727</v>
      </c>
      <c r="C24" s="12" t="s">
        <v>4594</v>
      </c>
      <c r="D24" s="12" t="s">
        <v>4687</v>
      </c>
      <c r="E24" s="13" t="s">
        <v>4244</v>
      </c>
      <c r="F24" s="14" t="s">
        <v>4244</v>
      </c>
      <c r="G24" s="15" t="s">
        <v>4688</v>
      </c>
      <c r="H24" s="15" t="s">
        <v>4709</v>
      </c>
      <c r="I24" s="14"/>
      <c r="J24" s="15"/>
    </row>
    <row r="25" customFormat="false" ht="15" hidden="false" customHeight="false" outlineLevel="0" collapsed="false">
      <c r="A25" s="12" t="s">
        <v>4726</v>
      </c>
      <c r="B25" s="13" t="s">
        <v>4727</v>
      </c>
      <c r="C25" s="12" t="s">
        <v>4594</v>
      </c>
      <c r="D25" s="12" t="s">
        <v>4594</v>
      </c>
      <c r="E25" s="13" t="s">
        <v>4728</v>
      </c>
      <c r="F25" s="14" t="s">
        <v>4728</v>
      </c>
      <c r="G25" s="15" t="s">
        <v>4688</v>
      </c>
      <c r="H25" s="15" t="s">
        <v>4709</v>
      </c>
      <c r="I25" s="14"/>
      <c r="J25" s="15"/>
    </row>
    <row r="26" customFormat="false" ht="15" hidden="false" customHeight="false" outlineLevel="0" collapsed="false">
      <c r="A26" s="12" t="s">
        <v>4726</v>
      </c>
      <c r="B26" s="13" t="s">
        <v>4727</v>
      </c>
      <c r="C26" s="12" t="s">
        <v>4594</v>
      </c>
      <c r="D26" s="12" t="s">
        <v>4695</v>
      </c>
      <c r="E26" s="13" t="s">
        <v>4394</v>
      </c>
      <c r="F26" s="14" t="s">
        <v>4729</v>
      </c>
      <c r="G26" s="15" t="s">
        <v>4688</v>
      </c>
      <c r="H26" s="15" t="s">
        <v>4709</v>
      </c>
      <c r="I26" s="14"/>
      <c r="J26" s="15"/>
    </row>
    <row r="27" customFormat="false" ht="23.85" hidden="false" customHeight="false" outlineLevel="0" collapsed="false">
      <c r="A27" s="12" t="s">
        <v>4726</v>
      </c>
      <c r="B27" s="13" t="s">
        <v>4727</v>
      </c>
      <c r="C27" s="12" t="s">
        <v>4594</v>
      </c>
      <c r="D27" s="12" t="s">
        <v>4703</v>
      </c>
      <c r="E27" s="13" t="s">
        <v>4704</v>
      </c>
      <c r="F27" s="14" t="s">
        <v>4730</v>
      </c>
      <c r="G27" s="15" t="s">
        <v>4688</v>
      </c>
      <c r="H27" s="15" t="s">
        <v>4709</v>
      </c>
      <c r="I27" s="14"/>
      <c r="J27" s="15"/>
    </row>
    <row r="28" customFormat="false" ht="23.85" hidden="false" customHeight="false" outlineLevel="0" collapsed="false">
      <c r="A28" s="12" t="s">
        <v>4731</v>
      </c>
      <c r="B28" s="13" t="s">
        <v>4732</v>
      </c>
      <c r="C28" s="12" t="s">
        <v>4594</v>
      </c>
      <c r="D28" s="12" t="s">
        <v>4687</v>
      </c>
      <c r="E28" s="13" t="s">
        <v>4348</v>
      </c>
      <c r="F28" s="14" t="s">
        <v>4348</v>
      </c>
      <c r="G28" s="15" t="s">
        <v>4688</v>
      </c>
      <c r="H28" s="15" t="s">
        <v>4689</v>
      </c>
      <c r="I28" s="14"/>
      <c r="J28" s="15"/>
    </row>
    <row r="29" customFormat="false" ht="23.85" hidden="false" customHeight="false" outlineLevel="0" collapsed="false">
      <c r="A29" s="12" t="s">
        <v>4731</v>
      </c>
      <c r="B29" s="13" t="s">
        <v>4732</v>
      </c>
      <c r="C29" s="12" t="s">
        <v>4594</v>
      </c>
      <c r="D29" s="12" t="s">
        <v>4594</v>
      </c>
      <c r="E29" s="13" t="s">
        <v>4733</v>
      </c>
      <c r="F29" s="14" t="s">
        <v>4733</v>
      </c>
      <c r="G29" s="15" t="s">
        <v>4688</v>
      </c>
      <c r="H29" s="15" t="s">
        <v>4689</v>
      </c>
      <c r="I29" s="14"/>
      <c r="J29" s="15"/>
    </row>
    <row r="30" customFormat="false" ht="23.85" hidden="false" customHeight="false" outlineLevel="0" collapsed="false">
      <c r="A30" s="12" t="s">
        <v>4731</v>
      </c>
      <c r="B30" s="13" t="s">
        <v>4732</v>
      </c>
      <c r="C30" s="12" t="s">
        <v>4594</v>
      </c>
      <c r="D30" s="12" t="s">
        <v>4734</v>
      </c>
      <c r="E30" s="13" t="s">
        <v>4733</v>
      </c>
      <c r="F30" s="14" t="s">
        <v>4733</v>
      </c>
      <c r="G30" s="15" t="s">
        <v>4688</v>
      </c>
      <c r="H30" s="15" t="s">
        <v>4689</v>
      </c>
      <c r="I30" s="14"/>
      <c r="J30" s="15"/>
    </row>
    <row r="31" customFormat="false" ht="23.85" hidden="false" customHeight="false" outlineLevel="0" collapsed="false">
      <c r="A31" s="12" t="s">
        <v>4731</v>
      </c>
      <c r="B31" s="13" t="s">
        <v>4732</v>
      </c>
      <c r="C31" s="12" t="s">
        <v>4594</v>
      </c>
      <c r="D31" s="12" t="s">
        <v>4695</v>
      </c>
      <c r="E31" s="13" t="s">
        <v>4227</v>
      </c>
      <c r="F31" s="14" t="s">
        <v>4696</v>
      </c>
      <c r="G31" s="15" t="s">
        <v>4688</v>
      </c>
      <c r="H31" s="15" t="s">
        <v>4689</v>
      </c>
      <c r="I31" s="14"/>
      <c r="J31" s="15"/>
    </row>
    <row r="32" customFormat="false" ht="23.85" hidden="false" customHeight="false" outlineLevel="0" collapsed="false">
      <c r="A32" s="12" t="s">
        <v>4731</v>
      </c>
      <c r="B32" s="13" t="s">
        <v>4732</v>
      </c>
      <c r="C32" s="12" t="s">
        <v>4594</v>
      </c>
      <c r="D32" s="12" t="s">
        <v>4703</v>
      </c>
      <c r="E32" s="13" t="s">
        <v>4735</v>
      </c>
      <c r="F32" s="14" t="s">
        <v>4736</v>
      </c>
      <c r="G32" s="15" t="s">
        <v>4688</v>
      </c>
      <c r="H32" s="15" t="s">
        <v>4689</v>
      </c>
      <c r="I32" s="14"/>
      <c r="J32" s="15"/>
    </row>
    <row r="33" customFormat="false" ht="15" hidden="false" customHeight="false" outlineLevel="0" collapsed="false">
      <c r="A33" s="12" t="s">
        <v>4737</v>
      </c>
      <c r="B33" s="13" t="s">
        <v>4738</v>
      </c>
      <c r="C33" s="12" t="s">
        <v>4594</v>
      </c>
      <c r="D33" s="12" t="s">
        <v>4687</v>
      </c>
      <c r="E33" s="13" t="s">
        <v>4236</v>
      </c>
      <c r="F33" s="14" t="s">
        <v>4236</v>
      </c>
      <c r="G33" s="15" t="s">
        <v>4688</v>
      </c>
      <c r="H33" s="15" t="s">
        <v>4709</v>
      </c>
      <c r="I33" s="14"/>
      <c r="J33" s="15"/>
    </row>
    <row r="34" customFormat="false" ht="15" hidden="false" customHeight="false" outlineLevel="0" collapsed="false">
      <c r="A34" s="12" t="s">
        <v>4737</v>
      </c>
      <c r="B34" s="13" t="s">
        <v>4738</v>
      </c>
      <c r="C34" s="12" t="s">
        <v>4594</v>
      </c>
      <c r="D34" s="12" t="s">
        <v>4594</v>
      </c>
      <c r="E34" s="13" t="s">
        <v>4733</v>
      </c>
      <c r="F34" s="14" t="s">
        <v>4733</v>
      </c>
      <c r="G34" s="15" t="s">
        <v>4688</v>
      </c>
      <c r="H34" s="15" t="s">
        <v>4709</v>
      </c>
      <c r="I34" s="14"/>
      <c r="J34" s="15"/>
    </row>
    <row r="35" customFormat="false" ht="15" hidden="false" customHeight="false" outlineLevel="0" collapsed="false">
      <c r="A35" s="12" t="s">
        <v>4737</v>
      </c>
      <c r="B35" s="13" t="s">
        <v>4738</v>
      </c>
      <c r="C35" s="12" t="s">
        <v>4594</v>
      </c>
      <c r="D35" s="12" t="s">
        <v>4734</v>
      </c>
      <c r="E35" s="13" t="s">
        <v>4728</v>
      </c>
      <c r="F35" s="14" t="s">
        <v>4728</v>
      </c>
      <c r="G35" s="15" t="s">
        <v>4688</v>
      </c>
      <c r="H35" s="15" t="s">
        <v>4709</v>
      </c>
      <c r="I35" s="14"/>
      <c r="J35" s="15"/>
    </row>
    <row r="36" customFormat="false" ht="15" hidden="false" customHeight="false" outlineLevel="0" collapsed="false">
      <c r="A36" s="12" t="s">
        <v>4737</v>
      </c>
      <c r="B36" s="13" t="s">
        <v>4738</v>
      </c>
      <c r="C36" s="12" t="s">
        <v>4594</v>
      </c>
      <c r="D36" s="12" t="s">
        <v>4695</v>
      </c>
      <c r="E36" s="13" t="s">
        <v>4227</v>
      </c>
      <c r="F36" s="14" t="s">
        <v>4696</v>
      </c>
      <c r="G36" s="15" t="s">
        <v>4688</v>
      </c>
      <c r="H36" s="15" t="s">
        <v>4709</v>
      </c>
      <c r="I36" s="14"/>
      <c r="J36" s="15"/>
    </row>
    <row r="37" customFormat="false" ht="15" hidden="false" customHeight="false" outlineLevel="0" collapsed="false">
      <c r="A37" s="12" t="s">
        <v>4737</v>
      </c>
      <c r="B37" s="13" t="s">
        <v>4738</v>
      </c>
      <c r="C37" s="12" t="s">
        <v>4594</v>
      </c>
      <c r="D37" s="12" t="s">
        <v>4714</v>
      </c>
      <c r="E37" s="13" t="s">
        <v>4715</v>
      </c>
      <c r="F37" s="14" t="s">
        <v>4705</v>
      </c>
      <c r="G37" s="15" t="s">
        <v>4688</v>
      </c>
      <c r="H37" s="15" t="s">
        <v>4709</v>
      </c>
      <c r="I37" s="14"/>
      <c r="J37" s="15"/>
    </row>
    <row r="38" customFormat="false" ht="23.85" hidden="false" customHeight="false" outlineLevel="0" collapsed="false">
      <c r="A38" s="12" t="s">
        <v>4739</v>
      </c>
      <c r="B38" s="13" t="s">
        <v>4740</v>
      </c>
      <c r="C38" s="12" t="s">
        <v>4686</v>
      </c>
      <c r="D38" s="12" t="s">
        <v>4687</v>
      </c>
      <c r="E38" s="13" t="s">
        <v>4244</v>
      </c>
      <c r="F38" s="14" t="s">
        <v>4741</v>
      </c>
      <c r="G38" s="15" t="s">
        <v>4706</v>
      </c>
      <c r="H38" s="15" t="s">
        <v>4689</v>
      </c>
      <c r="I38" s="14"/>
      <c r="J38" s="15"/>
    </row>
    <row r="39" customFormat="false" ht="23.85" hidden="false" customHeight="false" outlineLevel="0" collapsed="false">
      <c r="A39" s="12" t="s">
        <v>4739</v>
      </c>
      <c r="B39" s="13" t="s">
        <v>4740</v>
      </c>
      <c r="C39" s="12" t="s">
        <v>4686</v>
      </c>
      <c r="D39" s="12" t="s">
        <v>4690</v>
      </c>
      <c r="E39" s="13" t="s">
        <v>4691</v>
      </c>
      <c r="F39" s="14" t="s">
        <v>4741</v>
      </c>
      <c r="G39" s="15" t="s">
        <v>4706</v>
      </c>
      <c r="H39" s="15" t="s">
        <v>4689</v>
      </c>
      <c r="I39" s="14"/>
      <c r="J39" s="15"/>
    </row>
    <row r="40" customFormat="false" ht="23.85" hidden="false" customHeight="false" outlineLevel="0" collapsed="false">
      <c r="A40" s="12" t="s">
        <v>4739</v>
      </c>
      <c r="B40" s="13" t="s">
        <v>4740</v>
      </c>
      <c r="C40" s="12" t="s">
        <v>4686</v>
      </c>
      <c r="D40" s="12" t="s">
        <v>4692</v>
      </c>
      <c r="E40" s="13" t="s">
        <v>4742</v>
      </c>
      <c r="F40" s="14" t="s">
        <v>4741</v>
      </c>
      <c r="G40" s="15" t="s">
        <v>4706</v>
      </c>
      <c r="H40" s="15" t="s">
        <v>4689</v>
      </c>
      <c r="I40" s="14"/>
      <c r="J40" s="15"/>
    </row>
    <row r="41" customFormat="false" ht="23.85" hidden="false" customHeight="false" outlineLevel="0" collapsed="false">
      <c r="A41" s="12" t="s">
        <v>4739</v>
      </c>
      <c r="B41" s="13" t="s">
        <v>4740</v>
      </c>
      <c r="C41" s="12" t="s">
        <v>4686</v>
      </c>
      <c r="D41" s="12" t="s">
        <v>4695</v>
      </c>
      <c r="E41" s="13" t="s">
        <v>4227</v>
      </c>
      <c r="F41" s="14" t="s">
        <v>4741</v>
      </c>
      <c r="G41" s="15" t="s">
        <v>4706</v>
      </c>
      <c r="H41" s="15" t="s">
        <v>4689</v>
      </c>
      <c r="I41" s="14"/>
      <c r="J41" s="15"/>
    </row>
    <row r="42" customFormat="false" ht="23.85" hidden="false" customHeight="false" outlineLevel="0" collapsed="false">
      <c r="A42" s="12" t="s">
        <v>4739</v>
      </c>
      <c r="B42" s="13" t="s">
        <v>4740</v>
      </c>
      <c r="C42" s="12" t="s">
        <v>4686</v>
      </c>
      <c r="D42" s="12" t="s">
        <v>4697</v>
      </c>
      <c r="E42" s="13" t="s">
        <v>4743</v>
      </c>
      <c r="F42" s="14" t="s">
        <v>4741</v>
      </c>
      <c r="G42" s="15" t="s">
        <v>4706</v>
      </c>
      <c r="H42" s="15" t="s">
        <v>4689</v>
      </c>
      <c r="I42" s="14"/>
      <c r="J42" s="15"/>
    </row>
    <row r="43" customFormat="false" ht="23.85" hidden="false" customHeight="false" outlineLevel="0" collapsed="false">
      <c r="A43" s="12" t="s">
        <v>4739</v>
      </c>
      <c r="B43" s="13" t="s">
        <v>4740</v>
      </c>
      <c r="C43" s="12" t="s">
        <v>4686</v>
      </c>
      <c r="D43" s="12" t="s">
        <v>4700</v>
      </c>
      <c r="E43" s="13" t="s">
        <v>4744</v>
      </c>
      <c r="F43" s="14" t="s">
        <v>4741</v>
      </c>
      <c r="G43" s="15" t="s">
        <v>4706</v>
      </c>
      <c r="H43" s="15" t="s">
        <v>4689</v>
      </c>
      <c r="I43" s="14"/>
      <c r="J43" s="15"/>
    </row>
    <row r="44" customFormat="false" ht="23.85" hidden="false" customHeight="false" outlineLevel="0" collapsed="false">
      <c r="A44" s="12" t="s">
        <v>4739</v>
      </c>
      <c r="B44" s="13" t="s">
        <v>4740</v>
      </c>
      <c r="C44" s="12" t="s">
        <v>4686</v>
      </c>
      <c r="D44" s="12" t="s">
        <v>4703</v>
      </c>
      <c r="E44" s="13" t="s">
        <v>4745</v>
      </c>
      <c r="F44" s="14" t="s">
        <v>4741</v>
      </c>
      <c r="G44" s="15" t="s">
        <v>4706</v>
      </c>
      <c r="H44" s="15" t="s">
        <v>4689</v>
      </c>
      <c r="I44" s="14"/>
      <c r="J44" s="15"/>
    </row>
    <row r="45" customFormat="false" ht="35.05" hidden="false" customHeight="false" outlineLevel="0" collapsed="false">
      <c r="A45" s="12" t="s">
        <v>4746</v>
      </c>
      <c r="B45" s="13" t="s">
        <v>4747</v>
      </c>
      <c r="C45" s="12" t="s">
        <v>4748</v>
      </c>
      <c r="D45" s="12" t="s">
        <v>4687</v>
      </c>
      <c r="E45" s="13" t="s">
        <v>4749</v>
      </c>
      <c r="F45" s="14" t="s">
        <v>4749</v>
      </c>
      <c r="G45" s="15" t="s">
        <v>4688</v>
      </c>
      <c r="H45" s="15" t="s">
        <v>4689</v>
      </c>
      <c r="I45" s="14"/>
      <c r="J45" s="15"/>
    </row>
    <row r="46" customFormat="false" ht="35.05" hidden="false" customHeight="false" outlineLevel="0" collapsed="false">
      <c r="A46" s="12" t="s">
        <v>4746</v>
      </c>
      <c r="B46" s="13" t="s">
        <v>4747</v>
      </c>
      <c r="C46" s="12" t="s">
        <v>4748</v>
      </c>
      <c r="D46" s="12" t="s">
        <v>4750</v>
      </c>
      <c r="E46" s="13" t="s">
        <v>4751</v>
      </c>
      <c r="F46" s="14" t="s">
        <v>4752</v>
      </c>
      <c r="G46" s="15" t="s">
        <v>4688</v>
      </c>
      <c r="H46" s="15" t="s">
        <v>4689</v>
      </c>
      <c r="I46" s="14"/>
      <c r="J46" s="15"/>
    </row>
    <row r="47" customFormat="false" ht="35.05" hidden="false" customHeight="false" outlineLevel="0" collapsed="false">
      <c r="A47" s="12" t="s">
        <v>4746</v>
      </c>
      <c r="B47" s="13" t="s">
        <v>4747</v>
      </c>
      <c r="C47" s="12" t="s">
        <v>4748</v>
      </c>
      <c r="D47" s="12" t="s">
        <v>4753</v>
      </c>
      <c r="E47" s="13" t="s">
        <v>4754</v>
      </c>
      <c r="F47" s="14" t="s">
        <v>4755</v>
      </c>
      <c r="G47" s="15" t="s">
        <v>4688</v>
      </c>
      <c r="H47" s="15" t="s">
        <v>4689</v>
      </c>
      <c r="I47" s="14"/>
      <c r="J47" s="15"/>
    </row>
    <row r="48" customFormat="false" ht="35.05" hidden="false" customHeight="false" outlineLevel="0" collapsed="false">
      <c r="A48" s="12" t="s">
        <v>4746</v>
      </c>
      <c r="B48" s="13" t="s">
        <v>4747</v>
      </c>
      <c r="C48" s="12" t="s">
        <v>4748</v>
      </c>
      <c r="D48" s="12" t="s">
        <v>4756</v>
      </c>
      <c r="E48" s="13" t="s">
        <v>4757</v>
      </c>
      <c r="F48" s="14" t="s">
        <v>4758</v>
      </c>
      <c r="G48" s="15" t="s">
        <v>4688</v>
      </c>
      <c r="H48" s="15" t="s">
        <v>4689</v>
      </c>
      <c r="I48" s="14"/>
      <c r="J48" s="15"/>
    </row>
    <row r="49" customFormat="false" ht="35.05" hidden="false" customHeight="false" outlineLevel="0" collapsed="false">
      <c r="A49" s="12" t="s">
        <v>4746</v>
      </c>
      <c r="B49" s="13" t="s">
        <v>4747</v>
      </c>
      <c r="C49" s="12" t="s">
        <v>4748</v>
      </c>
      <c r="D49" s="12" t="s">
        <v>4714</v>
      </c>
      <c r="E49" s="13" t="s">
        <v>4715</v>
      </c>
      <c r="F49" s="14" t="s">
        <v>4759</v>
      </c>
      <c r="G49" s="15" t="s">
        <v>4688</v>
      </c>
      <c r="H49" s="15" t="s">
        <v>4689</v>
      </c>
      <c r="I49" s="14"/>
      <c r="J49" s="15"/>
    </row>
    <row r="50" customFormat="false" ht="23.85" hidden="false" customHeight="false" outlineLevel="0" collapsed="false">
      <c r="A50" s="12" t="s">
        <v>4760</v>
      </c>
      <c r="B50" s="13" t="s">
        <v>4761</v>
      </c>
      <c r="C50" s="12" t="s">
        <v>4748</v>
      </c>
      <c r="D50" s="12" t="s">
        <v>4687</v>
      </c>
      <c r="E50" s="13" t="s">
        <v>4348</v>
      </c>
      <c r="F50" s="14" t="s">
        <v>4348</v>
      </c>
      <c r="G50" s="15" t="s">
        <v>4688</v>
      </c>
      <c r="H50" s="15" t="s">
        <v>4689</v>
      </c>
      <c r="I50" s="14"/>
      <c r="J50" s="15"/>
    </row>
    <row r="51" customFormat="false" ht="23.85" hidden="false" customHeight="false" outlineLevel="0" collapsed="false">
      <c r="A51" s="12" t="s">
        <v>4760</v>
      </c>
      <c r="B51" s="13" t="s">
        <v>4761</v>
      </c>
      <c r="C51" s="12" t="s">
        <v>4748</v>
      </c>
      <c r="D51" s="12" t="s">
        <v>4750</v>
      </c>
      <c r="E51" s="13" t="s">
        <v>4762</v>
      </c>
      <c r="F51" s="14" t="s">
        <v>4763</v>
      </c>
      <c r="G51" s="15" t="s">
        <v>4688</v>
      </c>
      <c r="H51" s="15" t="s">
        <v>4689</v>
      </c>
      <c r="I51" s="14"/>
      <c r="J51" s="15"/>
    </row>
    <row r="52" customFormat="false" ht="23.85" hidden="false" customHeight="false" outlineLevel="0" collapsed="false">
      <c r="A52" s="12" t="s">
        <v>4760</v>
      </c>
      <c r="B52" s="13" t="s">
        <v>4761</v>
      </c>
      <c r="C52" s="12" t="s">
        <v>4748</v>
      </c>
      <c r="D52" s="12" t="s">
        <v>4714</v>
      </c>
      <c r="E52" s="13" t="s">
        <v>4715</v>
      </c>
      <c r="F52" s="14" t="s">
        <v>4759</v>
      </c>
      <c r="G52" s="15" t="s">
        <v>4688</v>
      </c>
      <c r="H52" s="15" t="s">
        <v>4689</v>
      </c>
      <c r="I52" s="14"/>
      <c r="J52" s="15"/>
    </row>
    <row r="53" customFormat="false" ht="35.05" hidden="false" customHeight="false" outlineLevel="0" collapsed="false">
      <c r="A53" s="12" t="s">
        <v>4764</v>
      </c>
      <c r="B53" s="13" t="s">
        <v>4765</v>
      </c>
      <c r="C53" s="12" t="s">
        <v>4686</v>
      </c>
      <c r="D53" s="12" t="s">
        <v>4687</v>
      </c>
      <c r="E53" s="13" t="s">
        <v>4236</v>
      </c>
      <c r="F53" s="14" t="s">
        <v>4236</v>
      </c>
      <c r="G53" s="15" t="s">
        <v>4688</v>
      </c>
      <c r="H53" s="15" t="s">
        <v>4689</v>
      </c>
      <c r="I53" s="14" t="s">
        <v>4766</v>
      </c>
      <c r="J53" s="15" t="s">
        <v>4706</v>
      </c>
    </row>
    <row r="54" customFormat="false" ht="35.05" hidden="false" customHeight="false" outlineLevel="0" collapsed="false">
      <c r="A54" s="12" t="s">
        <v>4764</v>
      </c>
      <c r="B54" s="13" t="s">
        <v>4765</v>
      </c>
      <c r="C54" s="12" t="s">
        <v>4686</v>
      </c>
      <c r="D54" s="12" t="s">
        <v>4690</v>
      </c>
      <c r="E54" s="13" t="s">
        <v>4691</v>
      </c>
      <c r="F54" s="14" t="s">
        <v>4691</v>
      </c>
      <c r="G54" s="15" t="s">
        <v>4688</v>
      </c>
      <c r="H54" s="15" t="s">
        <v>4689</v>
      </c>
      <c r="I54" s="14" t="s">
        <v>4766</v>
      </c>
      <c r="J54" s="15" t="s">
        <v>4706</v>
      </c>
    </row>
    <row r="55" customFormat="false" ht="35.05" hidden="false" customHeight="false" outlineLevel="0" collapsed="false">
      <c r="A55" s="12" t="s">
        <v>4764</v>
      </c>
      <c r="B55" s="13" t="s">
        <v>4765</v>
      </c>
      <c r="C55" s="12" t="s">
        <v>4686</v>
      </c>
      <c r="D55" s="12" t="s">
        <v>4692</v>
      </c>
      <c r="E55" s="13" t="s">
        <v>4767</v>
      </c>
      <c r="F55" s="14" t="s">
        <v>4768</v>
      </c>
      <c r="G55" s="15" t="s">
        <v>4688</v>
      </c>
      <c r="H55" s="15" t="s">
        <v>4689</v>
      </c>
      <c r="I55" s="14" t="s">
        <v>4766</v>
      </c>
      <c r="J55" s="15" t="s">
        <v>4706</v>
      </c>
    </row>
    <row r="56" customFormat="false" ht="35.05" hidden="false" customHeight="false" outlineLevel="0" collapsed="false">
      <c r="A56" s="12" t="s">
        <v>4764</v>
      </c>
      <c r="B56" s="13" t="s">
        <v>4765</v>
      </c>
      <c r="C56" s="12" t="s">
        <v>4686</v>
      </c>
      <c r="D56" s="12" t="s">
        <v>4695</v>
      </c>
      <c r="E56" s="13" t="s">
        <v>4227</v>
      </c>
      <c r="F56" s="14" t="s">
        <v>4696</v>
      </c>
      <c r="G56" s="15" t="s">
        <v>4688</v>
      </c>
      <c r="H56" s="15" t="s">
        <v>4689</v>
      </c>
      <c r="I56" s="14" t="s">
        <v>4766</v>
      </c>
      <c r="J56" s="15" t="s">
        <v>4706</v>
      </c>
    </row>
    <row r="57" customFormat="false" ht="35.05" hidden="false" customHeight="false" outlineLevel="0" collapsed="false">
      <c r="A57" s="12" t="s">
        <v>4764</v>
      </c>
      <c r="B57" s="13" t="s">
        <v>4765</v>
      </c>
      <c r="C57" s="12" t="s">
        <v>4686</v>
      </c>
      <c r="D57" s="12" t="s">
        <v>4697</v>
      </c>
      <c r="E57" s="13" t="s">
        <v>4698</v>
      </c>
      <c r="F57" s="14" t="s">
        <v>4699</v>
      </c>
      <c r="G57" s="15" t="s">
        <v>4688</v>
      </c>
      <c r="H57" s="15" t="s">
        <v>4689</v>
      </c>
      <c r="I57" s="14" t="s">
        <v>4766</v>
      </c>
      <c r="J57" s="15" t="s">
        <v>4706</v>
      </c>
    </row>
    <row r="58" customFormat="false" ht="35.05" hidden="false" customHeight="false" outlineLevel="0" collapsed="false">
      <c r="A58" s="12" t="s">
        <v>4764</v>
      </c>
      <c r="B58" s="13" t="s">
        <v>4765</v>
      </c>
      <c r="C58" s="12" t="s">
        <v>4686</v>
      </c>
      <c r="D58" s="12" t="s">
        <v>4700</v>
      </c>
      <c r="E58" s="13" t="s">
        <v>4769</v>
      </c>
      <c r="F58" s="14" t="s">
        <v>4770</v>
      </c>
      <c r="G58" s="15" t="s">
        <v>4688</v>
      </c>
      <c r="H58" s="15" t="s">
        <v>4689</v>
      </c>
      <c r="I58" s="14" t="s">
        <v>4766</v>
      </c>
      <c r="J58" s="15" t="s">
        <v>4706</v>
      </c>
    </row>
    <row r="59" customFormat="false" ht="35.05" hidden="false" customHeight="false" outlineLevel="0" collapsed="false">
      <c r="A59" s="12" t="s">
        <v>4764</v>
      </c>
      <c r="B59" s="13" t="s">
        <v>4765</v>
      </c>
      <c r="C59" s="12" t="s">
        <v>4686</v>
      </c>
      <c r="D59" s="12" t="s">
        <v>4714</v>
      </c>
      <c r="E59" s="13" t="s">
        <v>4715</v>
      </c>
      <c r="F59" s="14" t="s">
        <v>4705</v>
      </c>
      <c r="G59" s="15" t="s">
        <v>4688</v>
      </c>
      <c r="H59" s="15" t="s">
        <v>4689</v>
      </c>
      <c r="I59" s="14" t="s">
        <v>4766</v>
      </c>
      <c r="J59" s="15" t="s">
        <v>4706</v>
      </c>
    </row>
    <row r="60" customFormat="false" ht="35.05" hidden="false" customHeight="false" outlineLevel="0" collapsed="false">
      <c r="A60" s="12" t="s">
        <v>4764</v>
      </c>
      <c r="B60" s="13" t="s">
        <v>4765</v>
      </c>
      <c r="C60" s="12" t="s">
        <v>4594</v>
      </c>
      <c r="D60" s="12" t="s">
        <v>4687</v>
      </c>
      <c r="E60" s="13" t="s">
        <v>4244</v>
      </c>
      <c r="F60" s="14" t="s">
        <v>4244</v>
      </c>
      <c r="G60" s="15" t="s">
        <v>4688</v>
      </c>
      <c r="H60" s="15" t="s">
        <v>4689</v>
      </c>
      <c r="I60" s="14" t="s">
        <v>4766</v>
      </c>
      <c r="J60" s="15" t="s">
        <v>4706</v>
      </c>
    </row>
    <row r="61" customFormat="false" ht="35.05" hidden="false" customHeight="false" outlineLevel="0" collapsed="false">
      <c r="A61" s="12" t="s">
        <v>4764</v>
      </c>
      <c r="B61" s="13" t="s">
        <v>4765</v>
      </c>
      <c r="C61" s="12" t="s">
        <v>4594</v>
      </c>
      <c r="D61" s="12" t="s">
        <v>4594</v>
      </c>
      <c r="E61" s="13" t="s">
        <v>4771</v>
      </c>
      <c r="F61" s="14" t="s">
        <v>4771</v>
      </c>
      <c r="G61" s="15" t="s">
        <v>4688</v>
      </c>
      <c r="H61" s="15" t="s">
        <v>4689</v>
      </c>
      <c r="I61" s="14" t="s">
        <v>4766</v>
      </c>
      <c r="J61" s="15" t="s">
        <v>4706</v>
      </c>
    </row>
    <row r="62" customFormat="false" ht="35.05" hidden="false" customHeight="false" outlineLevel="0" collapsed="false">
      <c r="A62" s="12" t="s">
        <v>4764</v>
      </c>
      <c r="B62" s="13" t="s">
        <v>4765</v>
      </c>
      <c r="C62" s="12" t="s">
        <v>4594</v>
      </c>
      <c r="D62" s="12" t="s">
        <v>4695</v>
      </c>
      <c r="E62" s="13" t="s">
        <v>4227</v>
      </c>
      <c r="F62" s="14" t="s">
        <v>4696</v>
      </c>
      <c r="G62" s="15" t="s">
        <v>4688</v>
      </c>
      <c r="H62" s="15" t="s">
        <v>4689</v>
      </c>
      <c r="I62" s="14" t="s">
        <v>4766</v>
      </c>
      <c r="J62" s="15" t="s">
        <v>4706</v>
      </c>
    </row>
    <row r="63" customFormat="false" ht="35.05" hidden="false" customHeight="false" outlineLevel="0" collapsed="false">
      <c r="A63" s="12" t="s">
        <v>4764</v>
      </c>
      <c r="B63" s="13" t="s">
        <v>4765</v>
      </c>
      <c r="C63" s="12" t="s">
        <v>4594</v>
      </c>
      <c r="D63" s="12" t="s">
        <v>4703</v>
      </c>
      <c r="E63" s="13" t="s">
        <v>4772</v>
      </c>
      <c r="F63" s="14" t="s">
        <v>4773</v>
      </c>
      <c r="G63" s="15" t="s">
        <v>4688</v>
      </c>
      <c r="H63" s="15" t="s">
        <v>4689</v>
      </c>
      <c r="I63" s="14" t="s">
        <v>4766</v>
      </c>
      <c r="J63" s="15" t="s">
        <v>4706</v>
      </c>
    </row>
  </sheetData>
  <conditionalFormatting sqref="G5:G63">
    <cfRule type="cellIs" priority="2" operator="equal" aboveAverage="0" equalAverage="0" bottom="0" percent="0" rank="0" text="" dxfId="0">
      <formula>"Correct"</formula>
    </cfRule>
    <cfRule type="cellIs" priority="3" operator="equal" aboveAverage="0" equalAverage="0" bottom="0" percent="0" rank="0" text="" dxfId="1">
      <formula>"Safe ask"</formula>
    </cfRule>
    <cfRule type="cellIs" priority="4" operator="equal" aboveAverage="0" equalAverage="0" bottom="0" percent="0" rank="0" text="" dxfId="2">
      <formula>"Silent wrong"</formula>
    </cfRule>
    <cfRule type="cellIs" priority="5" operator="equal" aboveAverage="0" equalAverage="0" bottom="0" percent="0" rank="0" text="" dxfId="3">
      <formula>"Missed"</formula>
    </cfRule>
    <cfRule type="cellIs" priority="6" operator="equal" aboveAverage="0" equalAverage="0" bottom="0" percent="0" rank="0" text="" dxfId="0">
      <formula>"Y"</formula>
    </cfRule>
    <cfRule type="cellIs" priority="7" operator="equal" aboveAverage="0" equalAverage="0" bottom="0" percent="0" rank="0" text="" dxfId="2">
      <formula>"N"</formula>
    </cfRule>
  </conditionalFormatting>
  <conditionalFormatting sqref="J5:J63">
    <cfRule type="cellIs" priority="8" operator="equal" aboveAverage="0" equalAverage="0" bottom="0" percent="0" rank="0" text="" dxfId="0">
      <formula>"Correct"</formula>
    </cfRule>
    <cfRule type="cellIs" priority="9" operator="equal" aboveAverage="0" equalAverage="0" bottom="0" percent="0" rank="0" text="" dxfId="1">
      <formula>"Safe ask"</formula>
    </cfRule>
    <cfRule type="cellIs" priority="10" operator="equal" aboveAverage="0" equalAverage="0" bottom="0" percent="0" rank="0" text="" dxfId="2">
      <formula>"Silent wrong"</formula>
    </cfRule>
    <cfRule type="cellIs" priority="11" operator="equal" aboveAverage="0" equalAverage="0" bottom="0" percent="0" rank="0" text="" dxfId="3">
      <formula>"Missed"</formula>
    </cfRule>
    <cfRule type="cellIs" priority="12" operator="equal" aboveAverage="0" equalAverage="0" bottom="0" percent="0" rank="0" text="" dxfId="0">
      <formula>"Y"</formula>
    </cfRule>
    <cfRule type="cellIs" priority="13" operator="equal" aboveAverage="0" equalAverage="0" bottom="0" percent="0" rank="0" text="" dxfId="2">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8"/>
    <col collapsed="false" customWidth="true" hidden="false" outlineLevel="0" max="5" min="5" style="0" width="60"/>
    <col collapsed="false" customWidth="true" hidden="false" outlineLevel="0" max="6" min="6" style="0" width="16"/>
    <col collapsed="false" customWidth="true" hidden="false" outlineLevel="0" max="7" min="7" style="0" width="34"/>
    <col collapsed="false" customWidth="true" hidden="false" outlineLevel="0" max="8" min="8" style="0" width="30"/>
  </cols>
  <sheetData>
    <row r="1" customFormat="false" ht="17.35" hidden="false" customHeight="false" outlineLevel="0" collapsed="false">
      <c r="A1" s="1" t="s">
        <v>4774</v>
      </c>
    </row>
    <row r="2" customFormat="false" ht="15" hidden="false" customHeight="false" outlineLevel="0" collapsed="false">
      <c r="A2" s="2" t="s">
        <v>4775</v>
      </c>
    </row>
    <row r="4" customFormat="false" ht="15" hidden="false" customHeight="false" outlineLevel="0" collapsed="false">
      <c r="A4" s="8" t="s">
        <v>4776</v>
      </c>
      <c r="B4" s="8" t="s">
        <v>4369</v>
      </c>
      <c r="C4" s="8" t="s">
        <v>91</v>
      </c>
      <c r="D4" s="8" t="s">
        <v>4777</v>
      </c>
      <c r="E4" s="8" t="s">
        <v>4778</v>
      </c>
      <c r="F4" s="8" t="s">
        <v>4779</v>
      </c>
      <c r="G4" s="8" t="s">
        <v>4780</v>
      </c>
      <c r="H4" s="8" t="s">
        <v>4781</v>
      </c>
    </row>
    <row r="5" customFormat="false" ht="23.85" hidden="false" customHeight="false" outlineLevel="0" collapsed="false">
      <c r="A5" s="9" t="n">
        <v>1</v>
      </c>
      <c r="B5" s="9" t="s">
        <v>4721</v>
      </c>
      <c r="C5" s="9" t="s">
        <v>93</v>
      </c>
      <c r="D5" s="9" t="s">
        <v>142</v>
      </c>
      <c r="E5" s="16" t="s">
        <v>4782</v>
      </c>
      <c r="F5" s="9" t="s">
        <v>4783</v>
      </c>
      <c r="G5" s="16" t="s">
        <v>4784</v>
      </c>
      <c r="H5" s="16" t="s">
        <v>4785</v>
      </c>
    </row>
    <row r="6" customFormat="false" ht="23.85" hidden="false" customHeight="false" outlineLevel="0" collapsed="false">
      <c r="A6" s="9" t="n">
        <v>2</v>
      </c>
      <c r="B6" s="9" t="s">
        <v>4721</v>
      </c>
      <c r="C6" s="9" t="s">
        <v>93</v>
      </c>
      <c r="D6" s="9" t="s">
        <v>142</v>
      </c>
      <c r="E6" s="16" t="s">
        <v>4786</v>
      </c>
      <c r="F6" s="9" t="s">
        <v>4783</v>
      </c>
      <c r="G6" s="16" t="s">
        <v>4787</v>
      </c>
      <c r="H6" s="16" t="s">
        <v>4788</v>
      </c>
    </row>
    <row r="7" customFormat="false" ht="23.85" hidden="false" customHeight="false" outlineLevel="0" collapsed="false">
      <c r="A7" s="9" t="n">
        <v>3</v>
      </c>
      <c r="B7" s="9" t="s">
        <v>4721</v>
      </c>
      <c r="C7" s="9" t="s">
        <v>93</v>
      </c>
      <c r="D7" s="9" t="s">
        <v>142</v>
      </c>
      <c r="E7" s="16" t="s">
        <v>4789</v>
      </c>
      <c r="F7" s="9" t="s">
        <v>4790</v>
      </c>
      <c r="G7" s="16" t="s">
        <v>4791</v>
      </c>
      <c r="H7" s="16" t="s">
        <v>4792</v>
      </c>
    </row>
    <row r="8" customFormat="false" ht="15" hidden="false" customHeight="false" outlineLevel="0" collapsed="false">
      <c r="A8" s="9" t="n">
        <v>4</v>
      </c>
      <c r="B8" s="9" t="s">
        <v>4721</v>
      </c>
      <c r="C8" s="9" t="s">
        <v>93</v>
      </c>
      <c r="D8" s="9" t="s">
        <v>142</v>
      </c>
      <c r="E8" s="16" t="s">
        <v>4793</v>
      </c>
      <c r="F8" s="9" t="s">
        <v>4794</v>
      </c>
      <c r="G8" s="16" t="s">
        <v>4795</v>
      </c>
      <c r="H8" s="16" t="s">
        <v>4796</v>
      </c>
    </row>
    <row r="9" customFormat="false" ht="15" hidden="false" customHeight="false" outlineLevel="0" collapsed="false">
      <c r="A9" s="9" t="n">
        <v>5</v>
      </c>
      <c r="B9" s="9" t="s">
        <v>4721</v>
      </c>
      <c r="C9" s="9" t="s">
        <v>93</v>
      </c>
      <c r="D9" s="9" t="s">
        <v>164</v>
      </c>
      <c r="E9" s="16" t="s">
        <v>4797</v>
      </c>
      <c r="F9" s="9" t="s">
        <v>4790</v>
      </c>
      <c r="G9" s="16" t="s">
        <v>4798</v>
      </c>
      <c r="H9" s="16" t="s">
        <v>4799</v>
      </c>
    </row>
    <row r="10" customFormat="false" ht="15" hidden="false" customHeight="false" outlineLevel="0" collapsed="false">
      <c r="A10" s="9" t="n">
        <v>6</v>
      </c>
      <c r="B10" s="9" t="s">
        <v>4721</v>
      </c>
      <c r="C10" s="9" t="s">
        <v>93</v>
      </c>
      <c r="D10" s="9" t="s">
        <v>164</v>
      </c>
      <c r="E10" s="16" t="s">
        <v>4800</v>
      </c>
      <c r="F10" s="9" t="s">
        <v>4790</v>
      </c>
      <c r="G10" s="16" t="s">
        <v>4801</v>
      </c>
      <c r="H10" s="16" t="s">
        <v>4802</v>
      </c>
    </row>
    <row r="11" customFormat="false" ht="23.85" hidden="false" customHeight="false" outlineLevel="0" collapsed="false">
      <c r="A11" s="9" t="n">
        <v>7</v>
      </c>
      <c r="B11" s="9" t="s">
        <v>4696</v>
      </c>
      <c r="C11" s="9" t="s">
        <v>93</v>
      </c>
      <c r="D11" s="9" t="s">
        <v>164</v>
      </c>
      <c r="E11" s="16" t="s">
        <v>4803</v>
      </c>
      <c r="F11" s="9" t="s">
        <v>4783</v>
      </c>
      <c r="G11" s="16" t="s">
        <v>4804</v>
      </c>
      <c r="H11" s="16" t="s">
        <v>4805</v>
      </c>
    </row>
    <row r="12" customFormat="false" ht="23.85" hidden="false" customHeight="false" outlineLevel="0" collapsed="false">
      <c r="A12" s="9" t="n">
        <v>8</v>
      </c>
      <c r="B12" s="9" t="s">
        <v>4696</v>
      </c>
      <c r="C12" s="9" t="s">
        <v>93</v>
      </c>
      <c r="D12" s="9" t="s">
        <v>386</v>
      </c>
      <c r="E12" s="16" t="s">
        <v>4806</v>
      </c>
      <c r="F12" s="9" t="s">
        <v>4790</v>
      </c>
      <c r="G12" s="16" t="s">
        <v>4798</v>
      </c>
      <c r="H12" s="16" t="s">
        <v>4807</v>
      </c>
    </row>
    <row r="13" customFormat="false" ht="23.85" hidden="false" customHeight="false" outlineLevel="0" collapsed="false">
      <c r="A13" s="9" t="n">
        <v>9</v>
      </c>
      <c r="B13" s="9" t="s">
        <v>4696</v>
      </c>
      <c r="C13" s="9" t="s">
        <v>93</v>
      </c>
      <c r="D13" s="9" t="s">
        <v>386</v>
      </c>
      <c r="E13" s="16" t="s">
        <v>4808</v>
      </c>
      <c r="F13" s="9" t="s">
        <v>4783</v>
      </c>
      <c r="G13" s="16" t="s">
        <v>4809</v>
      </c>
      <c r="H13" s="16" t="s">
        <v>4810</v>
      </c>
    </row>
    <row r="14" customFormat="false" ht="23.85" hidden="false" customHeight="false" outlineLevel="0" collapsed="false">
      <c r="A14" s="9" t="n">
        <v>10</v>
      </c>
      <c r="B14" s="9" t="s">
        <v>4696</v>
      </c>
      <c r="C14" s="9" t="s">
        <v>93</v>
      </c>
      <c r="D14" s="9" t="s">
        <v>386</v>
      </c>
      <c r="E14" s="16" t="s">
        <v>4811</v>
      </c>
      <c r="F14" s="9" t="s">
        <v>4783</v>
      </c>
      <c r="G14" s="16" t="s">
        <v>4812</v>
      </c>
      <c r="H14" s="16" t="s">
        <v>4813</v>
      </c>
    </row>
    <row r="15" customFormat="false" ht="23.85" hidden="false" customHeight="false" outlineLevel="0" collapsed="false">
      <c r="A15" s="9" t="n">
        <v>11</v>
      </c>
      <c r="B15" s="9" t="s">
        <v>4696</v>
      </c>
      <c r="C15" s="9" t="s">
        <v>93</v>
      </c>
      <c r="D15" s="9" t="s">
        <v>4814</v>
      </c>
      <c r="E15" s="16" t="s">
        <v>4815</v>
      </c>
      <c r="F15" s="9" t="s">
        <v>4816</v>
      </c>
      <c r="G15" s="16" t="s">
        <v>4795</v>
      </c>
      <c r="H15" s="16" t="s">
        <v>4817</v>
      </c>
    </row>
    <row r="16" customFormat="false" ht="15" hidden="false" customHeight="false" outlineLevel="0" collapsed="false">
      <c r="A16" s="9" t="n">
        <v>12</v>
      </c>
      <c r="B16" s="9" t="s">
        <v>4696</v>
      </c>
      <c r="C16" s="9" t="s">
        <v>93</v>
      </c>
      <c r="D16" s="9" t="s">
        <v>4818</v>
      </c>
      <c r="E16" s="16" t="s">
        <v>4819</v>
      </c>
      <c r="F16" s="9" t="s">
        <v>4820</v>
      </c>
      <c r="G16" s="16" t="s">
        <v>4821</v>
      </c>
      <c r="H16" s="16" t="s">
        <v>591</v>
      </c>
    </row>
    <row r="17" customFormat="false" ht="23.85" hidden="false" customHeight="false" outlineLevel="0" collapsed="false">
      <c r="A17" s="9" t="n">
        <v>13</v>
      </c>
      <c r="B17" s="9" t="s">
        <v>4696</v>
      </c>
      <c r="C17" s="9" t="s">
        <v>93</v>
      </c>
      <c r="D17" s="9" t="s">
        <v>4818</v>
      </c>
      <c r="E17" s="16" t="s">
        <v>4822</v>
      </c>
      <c r="F17" s="9" t="s">
        <v>4783</v>
      </c>
      <c r="G17" s="16" t="s">
        <v>4823</v>
      </c>
      <c r="H17" s="16" t="s">
        <v>4824</v>
      </c>
    </row>
    <row r="18" customFormat="false" ht="35.05" hidden="false" customHeight="false" outlineLevel="0" collapsed="false">
      <c r="A18" s="9" t="n">
        <v>14</v>
      </c>
      <c r="B18" s="9" t="s">
        <v>4696</v>
      </c>
      <c r="C18" s="9" t="s">
        <v>93</v>
      </c>
      <c r="D18" s="9" t="s">
        <v>4818</v>
      </c>
      <c r="E18" s="16" t="s">
        <v>4825</v>
      </c>
      <c r="F18" s="9" t="s">
        <v>4790</v>
      </c>
      <c r="G18" s="16" t="s">
        <v>4826</v>
      </c>
      <c r="H18" s="16" t="s">
        <v>4827</v>
      </c>
    </row>
    <row r="19" customFormat="false" ht="23.85" hidden="false" customHeight="false" outlineLevel="0" collapsed="false">
      <c r="A19" s="9" t="n">
        <v>15</v>
      </c>
      <c r="B19" s="9" t="s">
        <v>4696</v>
      </c>
      <c r="C19" s="9" t="s">
        <v>95</v>
      </c>
      <c r="D19" s="9" t="s">
        <v>142</v>
      </c>
      <c r="E19" s="16" t="s">
        <v>4828</v>
      </c>
      <c r="F19" s="9" t="s">
        <v>4829</v>
      </c>
      <c r="G19" s="16" t="s">
        <v>4830</v>
      </c>
      <c r="H19" s="16" t="s">
        <v>4831</v>
      </c>
    </row>
    <row r="20" customFormat="false" ht="23.85" hidden="false" customHeight="false" outlineLevel="0" collapsed="false">
      <c r="A20" s="9" t="n">
        <v>16</v>
      </c>
      <c r="B20" s="9" t="s">
        <v>4696</v>
      </c>
      <c r="C20" s="9" t="s">
        <v>95</v>
      </c>
      <c r="D20" s="9" t="s">
        <v>142</v>
      </c>
      <c r="E20" s="16" t="s">
        <v>4832</v>
      </c>
      <c r="F20" s="9" t="s">
        <v>4790</v>
      </c>
      <c r="G20" s="16" t="s">
        <v>4833</v>
      </c>
      <c r="H20" s="16" t="s">
        <v>4834</v>
      </c>
    </row>
    <row r="21" customFormat="false" ht="23.85" hidden="false" customHeight="false" outlineLevel="0" collapsed="false">
      <c r="A21" s="9" t="n">
        <v>17</v>
      </c>
      <c r="B21" s="9" t="s">
        <v>4696</v>
      </c>
      <c r="C21" s="9" t="s">
        <v>95</v>
      </c>
      <c r="D21" s="9" t="s">
        <v>164</v>
      </c>
      <c r="E21" s="16" t="s">
        <v>4835</v>
      </c>
      <c r="F21" s="9" t="s">
        <v>4794</v>
      </c>
      <c r="G21" s="16" t="s">
        <v>4836</v>
      </c>
      <c r="H21" s="16" t="s">
        <v>4837</v>
      </c>
    </row>
    <row r="22" customFormat="false" ht="23.85" hidden="false" customHeight="false" outlineLevel="0" collapsed="false">
      <c r="A22" s="9" t="n">
        <v>18</v>
      </c>
      <c r="B22" s="9" t="s">
        <v>4696</v>
      </c>
      <c r="C22" s="9" t="s">
        <v>95</v>
      </c>
      <c r="D22" s="9" t="s">
        <v>164</v>
      </c>
      <c r="E22" s="16" t="s">
        <v>4838</v>
      </c>
      <c r="F22" s="9" t="s">
        <v>4790</v>
      </c>
      <c r="G22" s="16" t="s">
        <v>4839</v>
      </c>
      <c r="H22" s="16" t="s">
        <v>4840</v>
      </c>
    </row>
    <row r="23" customFormat="false" ht="15" hidden="false" customHeight="false" outlineLevel="0" collapsed="false">
      <c r="A23" s="9" t="n">
        <v>19</v>
      </c>
      <c r="B23" s="9" t="s">
        <v>4696</v>
      </c>
      <c r="C23" s="9" t="s">
        <v>95</v>
      </c>
      <c r="D23" s="9" t="s">
        <v>164</v>
      </c>
      <c r="E23" s="16" t="s">
        <v>4841</v>
      </c>
      <c r="F23" s="9" t="s">
        <v>4790</v>
      </c>
      <c r="G23" s="16" t="s">
        <v>4787</v>
      </c>
      <c r="H23" s="16" t="s">
        <v>4842</v>
      </c>
    </row>
    <row r="24" customFormat="false" ht="23.85" hidden="false" customHeight="false" outlineLevel="0" collapsed="false">
      <c r="A24" s="9" t="n">
        <v>20</v>
      </c>
      <c r="B24" s="9" t="s">
        <v>4696</v>
      </c>
      <c r="C24" s="9" t="s">
        <v>95</v>
      </c>
      <c r="D24" s="9" t="s">
        <v>164</v>
      </c>
      <c r="E24" s="16" t="s">
        <v>4843</v>
      </c>
      <c r="F24" s="9" t="s">
        <v>4790</v>
      </c>
      <c r="G24" s="16" t="s">
        <v>4787</v>
      </c>
      <c r="H24" s="16" t="s">
        <v>4844</v>
      </c>
    </row>
    <row r="25" customFormat="false" ht="23.85" hidden="false" customHeight="false" outlineLevel="0" collapsed="false">
      <c r="A25" s="9" t="n">
        <v>21</v>
      </c>
      <c r="B25" s="9" t="s">
        <v>4696</v>
      </c>
      <c r="C25" s="9" t="s">
        <v>95</v>
      </c>
      <c r="D25" s="9" t="s">
        <v>386</v>
      </c>
      <c r="E25" s="16" t="s">
        <v>4845</v>
      </c>
      <c r="F25" s="9" t="s">
        <v>4790</v>
      </c>
      <c r="G25" s="16" t="s">
        <v>4846</v>
      </c>
      <c r="H25" s="16" t="s">
        <v>4847</v>
      </c>
    </row>
    <row r="26" customFormat="false" ht="23.85" hidden="false" customHeight="false" outlineLevel="0" collapsed="false">
      <c r="A26" s="9" t="n">
        <v>22</v>
      </c>
      <c r="B26" s="9" t="s">
        <v>4696</v>
      </c>
      <c r="C26" s="9" t="s">
        <v>95</v>
      </c>
      <c r="D26" s="9" t="s">
        <v>386</v>
      </c>
      <c r="E26" s="16" t="s">
        <v>4848</v>
      </c>
      <c r="F26" s="9" t="s">
        <v>4790</v>
      </c>
      <c r="G26" s="16" t="s">
        <v>4849</v>
      </c>
      <c r="H26" s="16" t="s">
        <v>4850</v>
      </c>
    </row>
    <row r="27" customFormat="false" ht="23.85" hidden="false" customHeight="false" outlineLevel="0" collapsed="false">
      <c r="A27" s="9" t="n">
        <v>23</v>
      </c>
      <c r="B27" s="9" t="s">
        <v>4696</v>
      </c>
      <c r="C27" s="9" t="s">
        <v>95</v>
      </c>
      <c r="D27" s="9" t="s">
        <v>4851</v>
      </c>
      <c r="E27" s="16" t="s">
        <v>4852</v>
      </c>
      <c r="F27" s="9" t="s">
        <v>4790</v>
      </c>
      <c r="G27" s="16" t="s">
        <v>4853</v>
      </c>
      <c r="H27" s="16" t="s">
        <v>4854</v>
      </c>
    </row>
    <row r="28" customFormat="false" ht="35.05" hidden="false" customHeight="false" outlineLevel="0" collapsed="false">
      <c r="A28" s="9" t="n">
        <v>24</v>
      </c>
      <c r="B28" s="9" t="s">
        <v>4696</v>
      </c>
      <c r="C28" s="9" t="s">
        <v>95</v>
      </c>
      <c r="D28" s="9" t="s">
        <v>4855</v>
      </c>
      <c r="E28" s="16" t="s">
        <v>4856</v>
      </c>
      <c r="F28" s="9" t="s">
        <v>4790</v>
      </c>
      <c r="G28" s="16" t="s">
        <v>4857</v>
      </c>
      <c r="H28" s="16" t="s">
        <v>4858</v>
      </c>
    </row>
    <row r="29" customFormat="false" ht="23.85" hidden="false" customHeight="false" outlineLevel="0" collapsed="false">
      <c r="A29" s="9" t="n">
        <v>25</v>
      </c>
      <c r="B29" s="9" t="s">
        <v>4696</v>
      </c>
      <c r="C29" s="9" t="s">
        <v>4859</v>
      </c>
      <c r="D29" s="9" t="s">
        <v>4860</v>
      </c>
      <c r="E29" s="16" t="s">
        <v>4861</v>
      </c>
      <c r="F29" s="9" t="s">
        <v>4860</v>
      </c>
      <c r="G29" s="16" t="s">
        <v>4862</v>
      </c>
      <c r="H29" s="16" t="s">
        <v>4863</v>
      </c>
    </row>
    <row r="30" customFormat="false" ht="35.05" hidden="false" customHeight="false" outlineLevel="0" collapsed="false">
      <c r="A30" s="9" t="n">
        <v>26</v>
      </c>
      <c r="B30" s="9" t="s">
        <v>4864</v>
      </c>
      <c r="C30" s="9" t="s">
        <v>97</v>
      </c>
      <c r="D30" s="9" t="s">
        <v>142</v>
      </c>
      <c r="E30" s="16" t="s">
        <v>4865</v>
      </c>
      <c r="F30" s="9" t="s">
        <v>4783</v>
      </c>
      <c r="G30" s="16" t="s">
        <v>4866</v>
      </c>
      <c r="H30" s="16" t="s">
        <v>4867</v>
      </c>
    </row>
    <row r="31" customFormat="false" ht="23.85" hidden="false" customHeight="false" outlineLevel="0" collapsed="false">
      <c r="A31" s="9" t="n">
        <v>27</v>
      </c>
      <c r="B31" s="9" t="s">
        <v>4864</v>
      </c>
      <c r="C31" s="9" t="s">
        <v>97</v>
      </c>
      <c r="D31" s="9" t="s">
        <v>142</v>
      </c>
      <c r="E31" s="16" t="s">
        <v>4868</v>
      </c>
      <c r="F31" s="9" t="s">
        <v>4790</v>
      </c>
      <c r="G31" s="16" t="s">
        <v>4869</v>
      </c>
      <c r="H31" s="16" t="s">
        <v>4870</v>
      </c>
    </row>
    <row r="32" customFormat="false" ht="23.85" hidden="false" customHeight="false" outlineLevel="0" collapsed="false">
      <c r="A32" s="9" t="n">
        <v>28</v>
      </c>
      <c r="B32" s="9" t="s">
        <v>4864</v>
      </c>
      <c r="C32" s="9" t="s">
        <v>97</v>
      </c>
      <c r="D32" s="9" t="s">
        <v>142</v>
      </c>
      <c r="E32" s="16" t="s">
        <v>4871</v>
      </c>
      <c r="F32" s="9" t="s">
        <v>4783</v>
      </c>
      <c r="G32" s="16" t="s">
        <v>4872</v>
      </c>
      <c r="H32" s="16" t="s">
        <v>4873</v>
      </c>
    </row>
    <row r="33" customFormat="false" ht="35.05" hidden="false" customHeight="false" outlineLevel="0" collapsed="false">
      <c r="A33" s="9" t="n">
        <v>29</v>
      </c>
      <c r="B33" s="9" t="s">
        <v>4864</v>
      </c>
      <c r="C33" s="9" t="s">
        <v>97</v>
      </c>
      <c r="D33" s="9" t="s">
        <v>142</v>
      </c>
      <c r="E33" s="16" t="s">
        <v>4874</v>
      </c>
      <c r="F33" s="9" t="s">
        <v>4790</v>
      </c>
      <c r="G33" s="16" t="s">
        <v>4875</v>
      </c>
      <c r="H33" s="16" t="s">
        <v>4876</v>
      </c>
    </row>
    <row r="34" customFormat="false" ht="35.05" hidden="false" customHeight="false" outlineLevel="0" collapsed="false">
      <c r="A34" s="9" t="n">
        <v>30</v>
      </c>
      <c r="B34" s="9" t="s">
        <v>4864</v>
      </c>
      <c r="C34" s="9" t="s">
        <v>97</v>
      </c>
      <c r="D34" s="9" t="s">
        <v>142</v>
      </c>
      <c r="E34" s="16" t="s">
        <v>4877</v>
      </c>
      <c r="F34" s="9" t="s">
        <v>4790</v>
      </c>
      <c r="G34" s="16" t="s">
        <v>4878</v>
      </c>
      <c r="H34" s="16" t="s">
        <v>4879</v>
      </c>
    </row>
    <row r="35" customFormat="false" ht="35.05" hidden="false" customHeight="false" outlineLevel="0" collapsed="false">
      <c r="A35" s="9" t="n">
        <v>31</v>
      </c>
      <c r="B35" s="9" t="s">
        <v>4864</v>
      </c>
      <c r="C35" s="9" t="s">
        <v>97</v>
      </c>
      <c r="D35" s="9" t="s">
        <v>142</v>
      </c>
      <c r="E35" s="16" t="s">
        <v>4880</v>
      </c>
      <c r="F35" s="9" t="s">
        <v>4790</v>
      </c>
      <c r="G35" s="16" t="s">
        <v>4881</v>
      </c>
      <c r="H35" s="16" t="s">
        <v>4882</v>
      </c>
    </row>
    <row r="36" customFormat="false" ht="23.85" hidden="false" customHeight="false" outlineLevel="0" collapsed="false">
      <c r="A36" s="9" t="n">
        <v>32</v>
      </c>
      <c r="B36" s="9" t="s">
        <v>4864</v>
      </c>
      <c r="C36" s="9" t="s">
        <v>97</v>
      </c>
      <c r="D36" s="9" t="s">
        <v>164</v>
      </c>
      <c r="E36" s="16" t="s">
        <v>4883</v>
      </c>
      <c r="F36" s="9" t="s">
        <v>4790</v>
      </c>
      <c r="G36" s="16" t="s">
        <v>4884</v>
      </c>
      <c r="H36" s="16" t="s">
        <v>4885</v>
      </c>
    </row>
    <row r="37" customFormat="false" ht="23.85" hidden="false" customHeight="false" outlineLevel="0" collapsed="false">
      <c r="A37" s="9" t="n">
        <v>33</v>
      </c>
      <c r="B37" s="9" t="s">
        <v>4864</v>
      </c>
      <c r="C37" s="9" t="s">
        <v>97</v>
      </c>
      <c r="D37" s="9" t="s">
        <v>164</v>
      </c>
      <c r="E37" s="16" t="s">
        <v>4886</v>
      </c>
      <c r="F37" s="9" t="s">
        <v>4790</v>
      </c>
      <c r="G37" s="16" t="s">
        <v>4872</v>
      </c>
      <c r="H37" s="16" t="s">
        <v>4887</v>
      </c>
    </row>
    <row r="38" customFormat="false" ht="35.05" hidden="false" customHeight="false" outlineLevel="0" collapsed="false">
      <c r="A38" s="9" t="n">
        <v>34</v>
      </c>
      <c r="B38" s="9" t="s">
        <v>4864</v>
      </c>
      <c r="C38" s="9" t="s">
        <v>97</v>
      </c>
      <c r="D38" s="9" t="s">
        <v>164</v>
      </c>
      <c r="E38" s="16" t="s">
        <v>4888</v>
      </c>
      <c r="F38" s="9" t="s">
        <v>4790</v>
      </c>
      <c r="G38" s="16" t="s">
        <v>4889</v>
      </c>
      <c r="H38" s="16" t="s">
        <v>4890</v>
      </c>
    </row>
    <row r="39" customFormat="false" ht="23.85" hidden="false" customHeight="false" outlineLevel="0" collapsed="false">
      <c r="A39" s="9" t="n">
        <v>35</v>
      </c>
      <c r="B39" s="9" t="s">
        <v>4864</v>
      </c>
      <c r="C39" s="9" t="s">
        <v>111</v>
      </c>
      <c r="D39" s="9" t="s">
        <v>164</v>
      </c>
      <c r="E39" s="16" t="s">
        <v>4891</v>
      </c>
      <c r="F39" s="9" t="s">
        <v>4790</v>
      </c>
      <c r="G39" s="16" t="s">
        <v>4892</v>
      </c>
      <c r="H39" s="16" t="s">
        <v>4893</v>
      </c>
    </row>
    <row r="40" customFormat="false" ht="35.05" hidden="false" customHeight="false" outlineLevel="0" collapsed="false">
      <c r="A40" s="9" t="n">
        <v>36</v>
      </c>
      <c r="B40" s="9" t="s">
        <v>4864</v>
      </c>
      <c r="C40" s="9" t="s">
        <v>97</v>
      </c>
      <c r="D40" s="9" t="s">
        <v>386</v>
      </c>
      <c r="E40" s="16" t="s">
        <v>4894</v>
      </c>
      <c r="F40" s="9" t="s">
        <v>4790</v>
      </c>
      <c r="G40" s="16" t="s">
        <v>4895</v>
      </c>
      <c r="H40" s="16" t="s">
        <v>4896</v>
      </c>
    </row>
    <row r="41" customFormat="false" ht="23.85" hidden="false" customHeight="false" outlineLevel="0" collapsed="false">
      <c r="A41" s="9" t="n">
        <v>37</v>
      </c>
      <c r="B41" s="9" t="s">
        <v>4864</v>
      </c>
      <c r="C41" s="9" t="s">
        <v>97</v>
      </c>
      <c r="D41" s="9" t="s">
        <v>386</v>
      </c>
      <c r="E41" s="16" t="s">
        <v>4897</v>
      </c>
      <c r="F41" s="9" t="s">
        <v>4790</v>
      </c>
      <c r="G41" s="16" t="s">
        <v>4898</v>
      </c>
      <c r="H41" s="16" t="s">
        <v>4899</v>
      </c>
    </row>
    <row r="42" customFormat="false" ht="46.25" hidden="false" customHeight="false" outlineLevel="0" collapsed="false">
      <c r="A42" s="9" t="n">
        <v>38</v>
      </c>
      <c r="B42" s="9" t="s">
        <v>4864</v>
      </c>
      <c r="C42" s="9" t="s">
        <v>97</v>
      </c>
      <c r="D42" s="9" t="s">
        <v>386</v>
      </c>
      <c r="E42" s="16" t="s">
        <v>4900</v>
      </c>
      <c r="F42" s="9" t="s">
        <v>4901</v>
      </c>
      <c r="G42" s="16" t="s">
        <v>4902</v>
      </c>
      <c r="H42" s="16" t="s">
        <v>4903</v>
      </c>
    </row>
    <row r="43" customFormat="false" ht="46.25" hidden="false" customHeight="false" outlineLevel="0" collapsed="false">
      <c r="A43" s="9" t="n">
        <v>39</v>
      </c>
      <c r="B43" s="9" t="s">
        <v>4864</v>
      </c>
      <c r="C43" s="9" t="s">
        <v>99</v>
      </c>
      <c r="D43" s="9" t="s">
        <v>142</v>
      </c>
      <c r="E43" s="16" t="s">
        <v>4904</v>
      </c>
      <c r="F43" s="9" t="s">
        <v>4790</v>
      </c>
      <c r="G43" s="16" t="s">
        <v>4905</v>
      </c>
      <c r="H43" s="16" t="s">
        <v>4906</v>
      </c>
    </row>
    <row r="44" customFormat="false" ht="35.05" hidden="false" customHeight="false" outlineLevel="0" collapsed="false">
      <c r="A44" s="9" t="n">
        <v>40</v>
      </c>
      <c r="B44" s="9" t="s">
        <v>4864</v>
      </c>
      <c r="C44" s="9" t="s">
        <v>99</v>
      </c>
      <c r="D44" s="9" t="s">
        <v>164</v>
      </c>
      <c r="E44" s="16" t="s">
        <v>4907</v>
      </c>
      <c r="F44" s="9" t="s">
        <v>4790</v>
      </c>
      <c r="G44" s="16" t="s">
        <v>4908</v>
      </c>
      <c r="H44" s="16" t="s">
        <v>4909</v>
      </c>
    </row>
    <row r="45" customFormat="false" ht="35.05" hidden="false" customHeight="false" outlineLevel="0" collapsed="false">
      <c r="A45" s="9" t="n">
        <v>41</v>
      </c>
      <c r="B45" s="9" t="s">
        <v>4864</v>
      </c>
      <c r="C45" s="9" t="s">
        <v>99</v>
      </c>
      <c r="D45" s="9" t="s">
        <v>386</v>
      </c>
      <c r="E45" s="16" t="s">
        <v>4910</v>
      </c>
      <c r="F45" s="9" t="s">
        <v>4790</v>
      </c>
      <c r="G45" s="16" t="s">
        <v>4911</v>
      </c>
      <c r="H45" s="16" t="s">
        <v>4912</v>
      </c>
    </row>
    <row r="46" customFormat="false" ht="23.85" hidden="false" customHeight="false" outlineLevel="0" collapsed="false">
      <c r="A46" s="9" t="n">
        <v>42</v>
      </c>
      <c r="B46" s="9" t="s">
        <v>4864</v>
      </c>
      <c r="C46" s="9" t="s">
        <v>111</v>
      </c>
      <c r="D46" s="9" t="s">
        <v>409</v>
      </c>
      <c r="E46" s="16" t="s">
        <v>4913</v>
      </c>
      <c r="F46" s="9" t="s">
        <v>4790</v>
      </c>
      <c r="G46" s="16" t="s">
        <v>4914</v>
      </c>
      <c r="H46" s="16" t="s">
        <v>4915</v>
      </c>
    </row>
    <row r="47" customFormat="false" ht="46.25" hidden="false" customHeight="false" outlineLevel="0" collapsed="false">
      <c r="A47" s="9" t="n">
        <v>43</v>
      </c>
      <c r="B47" s="9" t="s">
        <v>4864</v>
      </c>
      <c r="C47" s="9" t="s">
        <v>101</v>
      </c>
      <c r="D47" s="9" t="s">
        <v>142</v>
      </c>
      <c r="E47" s="16" t="s">
        <v>4916</v>
      </c>
      <c r="F47" s="9" t="s">
        <v>4790</v>
      </c>
      <c r="G47" s="16" t="s">
        <v>4917</v>
      </c>
      <c r="H47" s="16" t="s">
        <v>4918</v>
      </c>
    </row>
    <row r="48" customFormat="false" ht="35.05" hidden="false" customHeight="false" outlineLevel="0" collapsed="false">
      <c r="A48" s="9" t="n">
        <v>44</v>
      </c>
      <c r="B48" s="9" t="s">
        <v>4919</v>
      </c>
      <c r="C48" s="9" t="s">
        <v>101</v>
      </c>
      <c r="D48" s="9" t="s">
        <v>164</v>
      </c>
      <c r="E48" s="16" t="s">
        <v>4920</v>
      </c>
      <c r="F48" s="9" t="s">
        <v>4790</v>
      </c>
      <c r="G48" s="16" t="s">
        <v>4914</v>
      </c>
      <c r="H48" s="16" t="s">
        <v>4921</v>
      </c>
    </row>
    <row r="49" customFormat="false" ht="35.05" hidden="false" customHeight="false" outlineLevel="0" collapsed="false">
      <c r="A49" s="9" t="n">
        <v>45</v>
      </c>
      <c r="B49" s="9" t="s">
        <v>4919</v>
      </c>
      <c r="C49" s="9" t="s">
        <v>101</v>
      </c>
      <c r="D49" s="9" t="s">
        <v>386</v>
      </c>
      <c r="E49" s="16" t="s">
        <v>4922</v>
      </c>
      <c r="F49" s="9" t="s">
        <v>4790</v>
      </c>
      <c r="G49" s="16" t="s">
        <v>4923</v>
      </c>
      <c r="H49" s="16" t="s">
        <v>4924</v>
      </c>
    </row>
    <row r="50" customFormat="false" ht="35.05" hidden="false" customHeight="false" outlineLevel="0" collapsed="false">
      <c r="A50" s="9" t="n">
        <v>46</v>
      </c>
      <c r="B50" s="9" t="s">
        <v>4925</v>
      </c>
      <c r="C50" s="9" t="s">
        <v>103</v>
      </c>
      <c r="D50" s="9" t="s">
        <v>142</v>
      </c>
      <c r="E50" s="16" t="s">
        <v>4926</v>
      </c>
      <c r="F50" s="9" t="s">
        <v>4790</v>
      </c>
      <c r="G50" s="16" t="s">
        <v>4927</v>
      </c>
      <c r="H50" s="16" t="s">
        <v>4928</v>
      </c>
    </row>
    <row r="51" customFormat="false" ht="35.05" hidden="false" customHeight="false" outlineLevel="0" collapsed="false">
      <c r="A51" s="9" t="n">
        <v>47</v>
      </c>
      <c r="B51" s="9" t="s">
        <v>4925</v>
      </c>
      <c r="C51" s="9" t="s">
        <v>103</v>
      </c>
      <c r="D51" s="9" t="s">
        <v>164</v>
      </c>
      <c r="E51" s="16" t="s">
        <v>4929</v>
      </c>
      <c r="F51" s="9" t="s">
        <v>4790</v>
      </c>
      <c r="G51" s="16" t="s">
        <v>4930</v>
      </c>
      <c r="H51" s="16" t="s">
        <v>4931</v>
      </c>
    </row>
    <row r="52" customFormat="false" ht="35.05" hidden="false" customHeight="false" outlineLevel="0" collapsed="false">
      <c r="A52" s="9" t="n">
        <v>48</v>
      </c>
      <c r="B52" s="9" t="s">
        <v>4925</v>
      </c>
      <c r="C52" s="9" t="s">
        <v>103</v>
      </c>
      <c r="D52" s="9" t="s">
        <v>386</v>
      </c>
      <c r="E52" s="16" t="s">
        <v>4932</v>
      </c>
      <c r="F52" s="9" t="s">
        <v>4790</v>
      </c>
      <c r="G52" s="16" t="s">
        <v>4933</v>
      </c>
      <c r="H52" s="16" t="s">
        <v>4934</v>
      </c>
    </row>
    <row r="53" customFormat="false" ht="46.25" hidden="false" customHeight="false" outlineLevel="0" collapsed="false">
      <c r="A53" s="9" t="n">
        <v>49</v>
      </c>
      <c r="B53" s="9" t="s">
        <v>4925</v>
      </c>
      <c r="C53" s="9" t="s">
        <v>104</v>
      </c>
      <c r="D53" s="9" t="s">
        <v>142</v>
      </c>
      <c r="E53" s="16" t="s">
        <v>4935</v>
      </c>
      <c r="F53" s="9" t="s">
        <v>4790</v>
      </c>
      <c r="G53" s="16" t="s">
        <v>4936</v>
      </c>
      <c r="H53" s="16" t="s">
        <v>4937</v>
      </c>
    </row>
    <row r="54" customFormat="false" ht="35.05" hidden="false" customHeight="false" outlineLevel="0" collapsed="false">
      <c r="A54" s="9" t="n">
        <v>50</v>
      </c>
      <c r="B54" s="9" t="s">
        <v>4925</v>
      </c>
      <c r="C54" s="9" t="s">
        <v>104</v>
      </c>
      <c r="D54" s="9" t="s">
        <v>164</v>
      </c>
      <c r="E54" s="16" t="s">
        <v>4938</v>
      </c>
      <c r="F54" s="9" t="s">
        <v>4790</v>
      </c>
      <c r="G54" s="16" t="s">
        <v>4939</v>
      </c>
      <c r="H54" s="16" t="s">
        <v>4937</v>
      </c>
    </row>
    <row r="55" customFormat="false" ht="46.25" hidden="false" customHeight="false" outlineLevel="0" collapsed="false">
      <c r="A55" s="9" t="n">
        <v>51</v>
      </c>
      <c r="B55" s="9" t="s">
        <v>4925</v>
      </c>
      <c r="C55" s="9" t="s">
        <v>104</v>
      </c>
      <c r="D55" s="9" t="s">
        <v>386</v>
      </c>
      <c r="E55" s="16" t="s">
        <v>4940</v>
      </c>
      <c r="F55" s="9" t="s">
        <v>4790</v>
      </c>
      <c r="G55" s="16" t="s">
        <v>4839</v>
      </c>
      <c r="H55" s="16" t="s">
        <v>4937</v>
      </c>
    </row>
    <row r="56" customFormat="false" ht="23.85" hidden="false" customHeight="false" outlineLevel="0" collapsed="false">
      <c r="A56" s="9" t="n">
        <v>52</v>
      </c>
      <c r="B56" s="9" t="s">
        <v>4925</v>
      </c>
      <c r="C56" s="9" t="s">
        <v>104</v>
      </c>
      <c r="D56" s="9" t="s">
        <v>4829</v>
      </c>
      <c r="E56" s="16" t="s">
        <v>4941</v>
      </c>
      <c r="F56" s="9" t="s">
        <v>4829</v>
      </c>
      <c r="G56" s="16" t="s">
        <v>4830</v>
      </c>
      <c r="H56" s="16" t="s">
        <v>4942</v>
      </c>
    </row>
    <row r="57" customFormat="false" ht="23.85" hidden="false" customHeight="false" outlineLevel="0" collapsed="false">
      <c r="A57" s="9" t="n">
        <v>53</v>
      </c>
      <c r="B57" s="9" t="s">
        <v>4925</v>
      </c>
      <c r="C57" s="9" t="s">
        <v>105</v>
      </c>
      <c r="D57" s="9" t="s">
        <v>4829</v>
      </c>
      <c r="E57" s="16" t="s">
        <v>4943</v>
      </c>
      <c r="F57" s="9" t="s">
        <v>4829</v>
      </c>
      <c r="G57" s="16" t="s">
        <v>4830</v>
      </c>
      <c r="H57" s="16" t="s">
        <v>4944</v>
      </c>
    </row>
    <row r="58" customFormat="false" ht="23.85" hidden="false" customHeight="false" outlineLevel="0" collapsed="false">
      <c r="A58" s="9" t="n">
        <v>54</v>
      </c>
      <c r="B58" s="9" t="s">
        <v>4925</v>
      </c>
      <c r="C58" s="9" t="s">
        <v>105</v>
      </c>
      <c r="D58" s="9" t="s">
        <v>142</v>
      </c>
      <c r="E58" s="16" t="s">
        <v>4945</v>
      </c>
      <c r="F58" s="9" t="s">
        <v>4790</v>
      </c>
      <c r="G58" s="16" t="s">
        <v>4946</v>
      </c>
      <c r="H58" s="16" t="s">
        <v>4947</v>
      </c>
    </row>
    <row r="59" customFormat="false" ht="35.05" hidden="false" customHeight="false" outlineLevel="0" collapsed="false">
      <c r="A59" s="9" t="n">
        <v>55</v>
      </c>
      <c r="B59" s="9" t="s">
        <v>4925</v>
      </c>
      <c r="C59" s="9" t="s">
        <v>105</v>
      </c>
      <c r="D59" s="9" t="s">
        <v>164</v>
      </c>
      <c r="E59" s="16" t="s">
        <v>4948</v>
      </c>
      <c r="F59" s="9" t="s">
        <v>4790</v>
      </c>
      <c r="G59" s="16" t="s">
        <v>4946</v>
      </c>
      <c r="H59" s="16" t="s">
        <v>4949</v>
      </c>
    </row>
    <row r="60" customFormat="false" ht="23.85" hidden="false" customHeight="false" outlineLevel="0" collapsed="false">
      <c r="A60" s="9" t="n">
        <v>56</v>
      </c>
      <c r="B60" s="9" t="s">
        <v>4925</v>
      </c>
      <c r="C60" s="9" t="s">
        <v>111</v>
      </c>
      <c r="D60" s="9" t="s">
        <v>386</v>
      </c>
      <c r="E60" s="16" t="s">
        <v>4950</v>
      </c>
      <c r="F60" s="9" t="s">
        <v>4790</v>
      </c>
      <c r="G60" s="16" t="s">
        <v>4872</v>
      </c>
      <c r="H60" s="16" t="s">
        <v>4951</v>
      </c>
    </row>
    <row r="61" customFormat="false" ht="35.05" hidden="false" customHeight="false" outlineLevel="0" collapsed="false">
      <c r="A61" s="9" t="n">
        <v>57</v>
      </c>
      <c r="B61" s="9" t="s">
        <v>4925</v>
      </c>
      <c r="C61" s="9" t="s">
        <v>107</v>
      </c>
      <c r="D61" s="9" t="s">
        <v>4829</v>
      </c>
      <c r="E61" s="16" t="s">
        <v>4952</v>
      </c>
      <c r="F61" s="9" t="s">
        <v>4829</v>
      </c>
      <c r="G61" s="16" t="s">
        <v>4830</v>
      </c>
      <c r="H61" s="16" t="s">
        <v>591</v>
      </c>
    </row>
    <row r="62" customFormat="false" ht="46.25" hidden="false" customHeight="false" outlineLevel="0" collapsed="false">
      <c r="A62" s="9" t="n">
        <v>58</v>
      </c>
      <c r="B62" s="9" t="s">
        <v>4925</v>
      </c>
      <c r="C62" s="9" t="s">
        <v>107</v>
      </c>
      <c r="D62" s="9" t="s">
        <v>142</v>
      </c>
      <c r="E62" s="16" t="s">
        <v>4953</v>
      </c>
      <c r="F62" s="9" t="s">
        <v>4790</v>
      </c>
      <c r="G62" s="16" t="s">
        <v>4787</v>
      </c>
      <c r="H62" s="16" t="s">
        <v>4954</v>
      </c>
    </row>
    <row r="63" customFormat="false" ht="23.85" hidden="false" customHeight="false" outlineLevel="0" collapsed="false">
      <c r="A63" s="9" t="n">
        <v>59</v>
      </c>
      <c r="B63" s="9" t="s">
        <v>4925</v>
      </c>
      <c r="C63" s="9" t="s">
        <v>111</v>
      </c>
      <c r="D63" s="9" t="s">
        <v>164</v>
      </c>
      <c r="E63" s="16" t="s">
        <v>4955</v>
      </c>
      <c r="F63" s="9" t="s">
        <v>4790</v>
      </c>
      <c r="G63" s="16" t="s">
        <v>4798</v>
      </c>
      <c r="H63" s="16" t="s">
        <v>4956</v>
      </c>
    </row>
    <row r="64" customFormat="false" ht="35.05" hidden="false" customHeight="false" outlineLevel="0" collapsed="false">
      <c r="A64" s="9" t="n">
        <v>60</v>
      </c>
      <c r="B64" s="9" t="s">
        <v>4925</v>
      </c>
      <c r="C64" s="9" t="s">
        <v>111</v>
      </c>
      <c r="D64" s="9" t="s">
        <v>386</v>
      </c>
      <c r="E64" s="16" t="s">
        <v>4957</v>
      </c>
      <c r="F64" s="9" t="s">
        <v>4790</v>
      </c>
      <c r="G64" s="16" t="s">
        <v>4798</v>
      </c>
      <c r="H64" s="16" t="s">
        <v>4958</v>
      </c>
    </row>
    <row r="65" customFormat="false" ht="35.05" hidden="false" customHeight="false" outlineLevel="0" collapsed="false">
      <c r="A65" s="9" t="n">
        <v>61</v>
      </c>
      <c r="B65" s="9" t="s">
        <v>4864</v>
      </c>
      <c r="C65" s="9" t="s">
        <v>111</v>
      </c>
      <c r="D65" s="9" t="s">
        <v>4860</v>
      </c>
      <c r="E65" s="16" t="s">
        <v>4959</v>
      </c>
      <c r="F65" s="9" t="s">
        <v>4860</v>
      </c>
      <c r="G65" s="16" t="s">
        <v>4862</v>
      </c>
      <c r="H65" s="16" t="s">
        <v>4960</v>
      </c>
    </row>
    <row r="66" customFormat="false" ht="35.05" hidden="false" customHeight="false" outlineLevel="0" collapsed="false">
      <c r="A66" s="9" t="n">
        <v>62</v>
      </c>
      <c r="B66" s="9" t="s">
        <v>4864</v>
      </c>
      <c r="C66" s="9" t="s">
        <v>111</v>
      </c>
      <c r="D66" s="9" t="s">
        <v>4860</v>
      </c>
      <c r="E66" s="16" t="s">
        <v>4961</v>
      </c>
      <c r="F66" s="9" t="s">
        <v>4860</v>
      </c>
      <c r="G66" s="16" t="s">
        <v>4862</v>
      </c>
      <c r="H66" s="16" t="s">
        <v>4962</v>
      </c>
    </row>
    <row r="67" customFormat="false" ht="23.85" hidden="false" customHeight="false" outlineLevel="0" collapsed="false">
      <c r="A67" s="9" t="n">
        <v>63</v>
      </c>
      <c r="B67" s="9" t="s">
        <v>4925</v>
      </c>
      <c r="C67" s="9" t="s">
        <v>4963</v>
      </c>
      <c r="D67" s="9" t="s">
        <v>4964</v>
      </c>
      <c r="E67" s="16" t="s">
        <v>4965</v>
      </c>
      <c r="F67" s="9" t="s">
        <v>4790</v>
      </c>
      <c r="G67" s="16" t="s">
        <v>4798</v>
      </c>
      <c r="H67" s="16" t="s">
        <v>4966</v>
      </c>
    </row>
    <row r="68" customFormat="false" ht="35.05" hidden="false" customHeight="false" outlineLevel="0" collapsed="false">
      <c r="A68" s="9" t="n">
        <v>64</v>
      </c>
      <c r="B68" s="9" t="s">
        <v>4925</v>
      </c>
      <c r="C68" s="9" t="s">
        <v>4963</v>
      </c>
      <c r="D68" s="9" t="s">
        <v>4967</v>
      </c>
      <c r="E68" s="16" t="s">
        <v>4968</v>
      </c>
      <c r="F68" s="9" t="s">
        <v>4790</v>
      </c>
      <c r="G68" s="16" t="s">
        <v>4969</v>
      </c>
      <c r="H68" s="16" t="s">
        <v>4970</v>
      </c>
    </row>
    <row r="69" customFormat="false" ht="35.05" hidden="false" customHeight="false" outlineLevel="0" collapsed="false">
      <c r="A69" s="9" t="n">
        <v>65</v>
      </c>
      <c r="B69" s="9" t="s">
        <v>4925</v>
      </c>
      <c r="C69" s="9" t="s">
        <v>4963</v>
      </c>
      <c r="D69" s="9" t="s">
        <v>4971</v>
      </c>
      <c r="E69" s="16" t="s">
        <v>4972</v>
      </c>
      <c r="F69" s="9" t="s">
        <v>4790</v>
      </c>
      <c r="G69" s="16" t="s">
        <v>4973</v>
      </c>
      <c r="H69" s="16" t="s">
        <v>4974</v>
      </c>
    </row>
    <row r="70" customFormat="false" ht="23.85" hidden="false" customHeight="false" outlineLevel="0" collapsed="false">
      <c r="A70" s="9" t="n">
        <v>66</v>
      </c>
      <c r="B70" s="9" t="s">
        <v>4925</v>
      </c>
      <c r="C70" s="9" t="s">
        <v>4963</v>
      </c>
      <c r="D70" s="9" t="s">
        <v>4975</v>
      </c>
      <c r="E70" s="16" t="s">
        <v>4976</v>
      </c>
      <c r="F70" s="9" t="s">
        <v>4790</v>
      </c>
      <c r="G70" s="16" t="s">
        <v>4892</v>
      </c>
      <c r="H70" s="16" t="s">
        <v>4977</v>
      </c>
    </row>
    <row r="71" customFormat="false" ht="35.05" hidden="false" customHeight="false" outlineLevel="0" collapsed="false">
      <c r="A71" s="9" t="n">
        <v>67</v>
      </c>
      <c r="B71" s="9" t="s">
        <v>4925</v>
      </c>
      <c r="C71" s="9" t="s">
        <v>4963</v>
      </c>
      <c r="D71" s="9" t="s">
        <v>4978</v>
      </c>
      <c r="E71" s="16" t="s">
        <v>4979</v>
      </c>
      <c r="F71" s="9" t="s">
        <v>4790</v>
      </c>
      <c r="G71" s="16" t="s">
        <v>4812</v>
      </c>
      <c r="H71" s="16" t="s">
        <v>4980</v>
      </c>
    </row>
    <row r="72" customFormat="false" ht="23.85" hidden="false" customHeight="false" outlineLevel="0" collapsed="false">
      <c r="A72" s="9" t="n">
        <v>68</v>
      </c>
      <c r="B72" s="9" t="s">
        <v>4925</v>
      </c>
      <c r="C72" s="9" t="s">
        <v>4963</v>
      </c>
      <c r="D72" s="9" t="s">
        <v>4981</v>
      </c>
      <c r="E72" s="16" t="s">
        <v>4982</v>
      </c>
      <c r="F72" s="9" t="s">
        <v>4790</v>
      </c>
      <c r="G72" s="16" t="s">
        <v>4983</v>
      </c>
      <c r="H72" s="16" t="s">
        <v>4984</v>
      </c>
    </row>
    <row r="73" customFormat="false" ht="35.05" hidden="false" customHeight="false" outlineLevel="0" collapsed="false">
      <c r="A73" s="9" t="n">
        <v>69</v>
      </c>
      <c r="B73" s="9" t="s">
        <v>4925</v>
      </c>
      <c r="C73" s="9" t="s">
        <v>4963</v>
      </c>
      <c r="D73" s="9" t="s">
        <v>4985</v>
      </c>
      <c r="E73" s="16" t="s">
        <v>4986</v>
      </c>
      <c r="F73" s="9" t="s">
        <v>4790</v>
      </c>
      <c r="G73" s="16" t="s">
        <v>4987</v>
      </c>
      <c r="H73" s="16" t="s">
        <v>4988</v>
      </c>
    </row>
    <row r="74" customFormat="false" ht="35.05" hidden="false" customHeight="false" outlineLevel="0" collapsed="false">
      <c r="A74" s="9" t="n">
        <v>70</v>
      </c>
      <c r="B74" s="9" t="s">
        <v>4925</v>
      </c>
      <c r="C74" s="9" t="s">
        <v>4963</v>
      </c>
      <c r="D74" s="9" t="s">
        <v>4989</v>
      </c>
      <c r="E74" s="16" t="s">
        <v>4990</v>
      </c>
      <c r="F74" s="9" t="s">
        <v>4790</v>
      </c>
      <c r="G74" s="16" t="s">
        <v>4991</v>
      </c>
      <c r="H74" s="16" t="s">
        <v>4992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60"/>
    <col collapsed="false" customWidth="true" hidden="false" outlineLevel="0" max="4" min="4" style="0" width="18"/>
    <col collapsed="false" customWidth="true" hidden="false" outlineLevel="0" max="5" min="5" style="0" width="55"/>
  </cols>
  <sheetData>
    <row r="1" customFormat="false" ht="17.35" hidden="false" customHeight="false" outlineLevel="0" collapsed="false">
      <c r="A1" s="1" t="s">
        <v>4993</v>
      </c>
    </row>
    <row r="3" customFormat="false" ht="15" hidden="false" customHeight="false" outlineLevel="0" collapsed="false">
      <c r="A3" s="8" t="s">
        <v>91</v>
      </c>
      <c r="B3" s="8" t="s">
        <v>4994</v>
      </c>
      <c r="C3" s="8" t="s">
        <v>4995</v>
      </c>
      <c r="D3" s="8" t="s">
        <v>4996</v>
      </c>
      <c r="E3" s="8" t="s">
        <v>4997</v>
      </c>
    </row>
    <row r="4" customFormat="false" ht="23.85" hidden="false" customHeight="false" outlineLevel="0" collapsed="false">
      <c r="A4" s="16" t="s">
        <v>93</v>
      </c>
      <c r="B4" s="16" t="s">
        <v>4998</v>
      </c>
      <c r="C4" s="16" t="s">
        <v>4999</v>
      </c>
      <c r="D4" s="16" t="s">
        <v>43</v>
      </c>
      <c r="E4" s="16" t="s">
        <v>5000</v>
      </c>
    </row>
    <row r="5" customFormat="false" ht="15" hidden="false" customHeight="false" outlineLevel="0" collapsed="false">
      <c r="A5" s="16" t="s">
        <v>93</v>
      </c>
      <c r="B5" s="16" t="s">
        <v>5001</v>
      </c>
      <c r="C5" s="16" t="s">
        <v>5002</v>
      </c>
      <c r="D5" s="16" t="s">
        <v>43</v>
      </c>
      <c r="E5" s="16" t="s">
        <v>5003</v>
      </c>
    </row>
    <row r="6" customFormat="false" ht="23.85" hidden="false" customHeight="false" outlineLevel="0" collapsed="false">
      <c r="A6" s="16" t="s">
        <v>93</v>
      </c>
      <c r="B6" s="16" t="s">
        <v>5004</v>
      </c>
      <c r="C6" s="16" t="s">
        <v>5005</v>
      </c>
      <c r="D6" s="16" t="s">
        <v>42</v>
      </c>
      <c r="E6" s="16" t="s">
        <v>5006</v>
      </c>
    </row>
    <row r="7" customFormat="false" ht="23.85" hidden="false" customHeight="false" outlineLevel="0" collapsed="false">
      <c r="A7" s="16" t="s">
        <v>93</v>
      </c>
      <c r="B7" s="16" t="s">
        <v>5007</v>
      </c>
      <c r="C7" s="16" t="s">
        <v>5008</v>
      </c>
      <c r="D7" s="16" t="s">
        <v>5009</v>
      </c>
      <c r="E7" s="16" t="s">
        <v>5010</v>
      </c>
    </row>
    <row r="8" customFormat="false" ht="15" hidden="false" customHeight="false" outlineLevel="0" collapsed="false">
      <c r="A8" s="16" t="s">
        <v>95</v>
      </c>
      <c r="B8" s="16" t="s">
        <v>4842</v>
      </c>
      <c r="C8" s="16" t="s">
        <v>5011</v>
      </c>
      <c r="D8" s="16" t="s">
        <v>5012</v>
      </c>
      <c r="E8" s="16" t="s">
        <v>5013</v>
      </c>
    </row>
    <row r="9" customFormat="false" ht="35.05" hidden="false" customHeight="false" outlineLevel="0" collapsed="false">
      <c r="A9" s="16" t="s">
        <v>97</v>
      </c>
      <c r="B9" s="16" t="s">
        <v>5014</v>
      </c>
      <c r="C9" s="16" t="s">
        <v>5015</v>
      </c>
      <c r="D9" s="16" t="s">
        <v>5016</v>
      </c>
      <c r="E9" s="16" t="s">
        <v>5017</v>
      </c>
    </row>
    <row r="10" customFormat="false" ht="23.85" hidden="false" customHeight="false" outlineLevel="0" collapsed="false">
      <c r="A10" s="16" t="s">
        <v>99</v>
      </c>
      <c r="B10" s="16" t="s">
        <v>5018</v>
      </c>
      <c r="C10" s="16" t="s">
        <v>5019</v>
      </c>
      <c r="D10" s="16" t="s">
        <v>44</v>
      </c>
      <c r="E10" s="16" t="s">
        <v>5020</v>
      </c>
    </row>
    <row r="11" customFormat="false" ht="23.85" hidden="false" customHeight="false" outlineLevel="0" collapsed="false">
      <c r="A11" s="16" t="s">
        <v>99</v>
      </c>
      <c r="B11" s="16" t="s">
        <v>5021</v>
      </c>
      <c r="C11" s="16" t="s">
        <v>5022</v>
      </c>
      <c r="D11" s="16" t="s">
        <v>42</v>
      </c>
      <c r="E11" s="16" t="s">
        <v>5023</v>
      </c>
    </row>
    <row r="12" customFormat="false" ht="23.85" hidden="false" customHeight="false" outlineLevel="0" collapsed="false">
      <c r="A12" s="16" t="s">
        <v>97</v>
      </c>
      <c r="B12" s="16" t="s">
        <v>5024</v>
      </c>
      <c r="C12" s="16" t="s">
        <v>5025</v>
      </c>
      <c r="D12" s="16" t="s">
        <v>42</v>
      </c>
      <c r="E12" s="16" t="s">
        <v>5026</v>
      </c>
    </row>
    <row r="13" customFormat="false" ht="23.85" hidden="false" customHeight="false" outlineLevel="0" collapsed="false">
      <c r="A13" s="16" t="s">
        <v>111</v>
      </c>
      <c r="B13" s="16" t="s">
        <v>591</v>
      </c>
      <c r="C13" s="16" t="s">
        <v>5027</v>
      </c>
      <c r="D13" s="16" t="s">
        <v>5028</v>
      </c>
      <c r="E13" s="16" t="s">
        <v>5029</v>
      </c>
    </row>
    <row r="14" customFormat="false" ht="23.85" hidden="false" customHeight="false" outlineLevel="0" collapsed="false">
      <c r="A14" s="16" t="s">
        <v>101</v>
      </c>
      <c r="B14" s="16" t="s">
        <v>5030</v>
      </c>
      <c r="C14" s="16" t="s">
        <v>5031</v>
      </c>
      <c r="D14" s="16" t="s">
        <v>5032</v>
      </c>
      <c r="E14" s="16" t="s">
        <v>5033</v>
      </c>
    </row>
    <row r="15" customFormat="false" ht="23.85" hidden="false" customHeight="false" outlineLevel="0" collapsed="false">
      <c r="A15" s="16" t="s">
        <v>101</v>
      </c>
      <c r="B15" s="16" t="s">
        <v>5034</v>
      </c>
      <c r="C15" s="16" t="s">
        <v>5035</v>
      </c>
      <c r="D15" s="16" t="s">
        <v>42</v>
      </c>
      <c r="E15" s="16" t="s">
        <v>5036</v>
      </c>
    </row>
    <row r="16" customFormat="false" ht="23.85" hidden="false" customHeight="false" outlineLevel="0" collapsed="false">
      <c r="A16" s="16" t="s">
        <v>103</v>
      </c>
      <c r="B16" s="16" t="s">
        <v>5037</v>
      </c>
      <c r="C16" s="16" t="s">
        <v>5038</v>
      </c>
      <c r="D16" s="16" t="s">
        <v>5039</v>
      </c>
      <c r="E16" s="16" t="s">
        <v>5040</v>
      </c>
    </row>
    <row r="17" customFormat="false" ht="35.05" hidden="false" customHeight="false" outlineLevel="0" collapsed="false">
      <c r="A17" s="16" t="s">
        <v>104</v>
      </c>
      <c r="B17" s="16" t="s">
        <v>5041</v>
      </c>
      <c r="C17" s="16" t="s">
        <v>5042</v>
      </c>
      <c r="D17" s="16" t="s">
        <v>43</v>
      </c>
      <c r="E17" s="16" t="s">
        <v>5043</v>
      </c>
    </row>
    <row r="18" customFormat="false" ht="23.85" hidden="false" customHeight="false" outlineLevel="0" collapsed="false">
      <c r="A18" s="16" t="s">
        <v>104</v>
      </c>
      <c r="B18" s="16" t="s">
        <v>5044</v>
      </c>
      <c r="C18" s="16" t="s">
        <v>5045</v>
      </c>
      <c r="D18" s="16" t="s">
        <v>44</v>
      </c>
      <c r="E18" s="16" t="s">
        <v>5046</v>
      </c>
    </row>
    <row r="19" customFormat="false" ht="23.85" hidden="false" customHeight="false" outlineLevel="0" collapsed="false">
      <c r="A19" s="16" t="s">
        <v>104</v>
      </c>
      <c r="B19" s="16" t="s">
        <v>5047</v>
      </c>
      <c r="C19" s="16" t="s">
        <v>5048</v>
      </c>
      <c r="D19" s="16" t="s">
        <v>44</v>
      </c>
      <c r="E19" s="16" t="s">
        <v>5049</v>
      </c>
    </row>
    <row r="20" customFormat="false" ht="23.85" hidden="false" customHeight="false" outlineLevel="0" collapsed="false">
      <c r="A20" s="16" t="s">
        <v>111</v>
      </c>
      <c r="B20" s="16" t="s">
        <v>591</v>
      </c>
      <c r="C20" s="16" t="s">
        <v>5050</v>
      </c>
      <c r="D20" s="16" t="s">
        <v>5028</v>
      </c>
      <c r="E20" s="16" t="s">
        <v>5051</v>
      </c>
    </row>
    <row r="21" customFormat="false" ht="23.85" hidden="false" customHeight="false" outlineLevel="0" collapsed="false">
      <c r="A21" s="16" t="s">
        <v>109</v>
      </c>
      <c r="B21" s="16" t="s">
        <v>5021</v>
      </c>
      <c r="C21" s="16" t="s">
        <v>5052</v>
      </c>
      <c r="D21" s="16" t="s">
        <v>591</v>
      </c>
      <c r="E21" s="16" t="s">
        <v>5053</v>
      </c>
    </row>
    <row r="22" customFormat="false" ht="23.85" hidden="false" customHeight="false" outlineLevel="0" collapsed="false">
      <c r="A22" s="16" t="s">
        <v>105</v>
      </c>
      <c r="B22" s="16" t="s">
        <v>591</v>
      </c>
      <c r="C22" s="16" t="s">
        <v>5054</v>
      </c>
      <c r="D22" s="16" t="s">
        <v>591</v>
      </c>
      <c r="E22" s="16" t="s">
        <v>5055</v>
      </c>
    </row>
    <row r="23" customFormat="false" ht="35.05" hidden="false" customHeight="false" outlineLevel="0" collapsed="false">
      <c r="A23" s="16" t="s">
        <v>107</v>
      </c>
      <c r="B23" s="16" t="s">
        <v>5056</v>
      </c>
      <c r="C23" s="16" t="s">
        <v>5057</v>
      </c>
      <c r="D23" s="16" t="s">
        <v>5032</v>
      </c>
      <c r="E23" s="16" t="s">
        <v>5058</v>
      </c>
    </row>
    <row r="24" customFormat="false" ht="35.05" hidden="false" customHeight="false" outlineLevel="0" collapsed="false">
      <c r="A24" s="16" t="s">
        <v>107</v>
      </c>
      <c r="B24" s="16" t="s">
        <v>591</v>
      </c>
      <c r="C24" s="16" t="s">
        <v>5059</v>
      </c>
      <c r="D24" s="16" t="s">
        <v>5060</v>
      </c>
      <c r="E24" s="16" t="s">
        <v>5061</v>
      </c>
    </row>
    <row r="25" customFormat="false" ht="35.05" hidden="false" customHeight="false" outlineLevel="0" collapsed="false">
      <c r="A25" s="16" t="s">
        <v>111</v>
      </c>
      <c r="B25" s="16" t="s">
        <v>591</v>
      </c>
      <c r="C25" s="16" t="s">
        <v>5062</v>
      </c>
      <c r="D25" s="16" t="s">
        <v>5063</v>
      </c>
      <c r="E25" s="16" t="s">
        <v>5064</v>
      </c>
    </row>
    <row r="26" customFormat="false" ht="15" hidden="false" customHeight="false" outlineLevel="0" collapsed="false">
      <c r="A26" s="16" t="s">
        <v>111</v>
      </c>
      <c r="B26" s="16" t="s">
        <v>591</v>
      </c>
      <c r="C26" s="16" t="s">
        <v>5065</v>
      </c>
      <c r="D26" s="16" t="s">
        <v>591</v>
      </c>
      <c r="E26" s="16" t="s">
        <v>5066</v>
      </c>
    </row>
    <row r="27" customFormat="false" ht="15" hidden="false" customHeight="false" outlineLevel="0" collapsed="false">
      <c r="A27" s="16" t="s">
        <v>95</v>
      </c>
      <c r="B27" s="16" t="s">
        <v>5047</v>
      </c>
      <c r="C27" s="16" t="s">
        <v>5067</v>
      </c>
      <c r="D27" s="16" t="s">
        <v>42</v>
      </c>
      <c r="E27" s="16" t="s">
        <v>5068</v>
      </c>
    </row>
    <row r="28" customFormat="false" ht="15" hidden="false" customHeight="false" outlineLevel="0" collapsed="false">
      <c r="A28" s="16" t="s">
        <v>111</v>
      </c>
      <c r="B28" s="16" t="s">
        <v>591</v>
      </c>
      <c r="C28" s="16" t="s">
        <v>5069</v>
      </c>
      <c r="D28" s="16" t="s">
        <v>591</v>
      </c>
      <c r="E28" s="16" t="s">
        <v>5070</v>
      </c>
    </row>
    <row r="29" customFormat="false" ht="23.85" hidden="false" customHeight="false" outlineLevel="0" collapsed="false">
      <c r="A29" s="16" t="s">
        <v>111</v>
      </c>
      <c r="B29" s="16" t="s">
        <v>591</v>
      </c>
      <c r="C29" s="16" t="s">
        <v>5071</v>
      </c>
      <c r="D29" s="16" t="s">
        <v>5072</v>
      </c>
      <c r="E29" s="16" t="s">
        <v>5073</v>
      </c>
    </row>
    <row r="30" customFormat="false" ht="15" hidden="false" customHeight="false" outlineLevel="0" collapsed="false">
      <c r="A30" s="16" t="s">
        <v>111</v>
      </c>
      <c r="B30" s="16" t="s">
        <v>591</v>
      </c>
      <c r="C30" s="16" t="s">
        <v>5074</v>
      </c>
      <c r="D30" s="16" t="s">
        <v>591</v>
      </c>
      <c r="E30" s="16" t="s">
        <v>5075</v>
      </c>
    </row>
    <row r="31" customFormat="false" ht="35.05" hidden="false" customHeight="false" outlineLevel="0" collapsed="false">
      <c r="A31" s="16" t="s">
        <v>5076</v>
      </c>
      <c r="B31" s="16" t="s">
        <v>5077</v>
      </c>
      <c r="C31" s="16" t="s">
        <v>5078</v>
      </c>
      <c r="D31" s="16" t="s">
        <v>43</v>
      </c>
      <c r="E31" s="16" t="s">
        <v>5079</v>
      </c>
    </row>
    <row r="32" customFormat="false" ht="23.85" hidden="false" customHeight="false" outlineLevel="0" collapsed="false">
      <c r="A32" s="16" t="s">
        <v>5076</v>
      </c>
      <c r="B32" s="16" t="s">
        <v>5080</v>
      </c>
      <c r="C32" s="16" t="s">
        <v>5081</v>
      </c>
      <c r="D32" s="16" t="s">
        <v>43</v>
      </c>
      <c r="E32" s="16" t="s">
        <v>5082</v>
      </c>
    </row>
    <row r="33" customFormat="false" ht="23.85" hidden="false" customHeight="false" outlineLevel="0" collapsed="false">
      <c r="A33" s="16" t="s">
        <v>5076</v>
      </c>
      <c r="B33" s="16" t="s">
        <v>5083</v>
      </c>
      <c r="C33" s="16" t="s">
        <v>5084</v>
      </c>
      <c r="D33" s="16" t="s">
        <v>44</v>
      </c>
      <c r="E33" s="16" t="s">
        <v>5085</v>
      </c>
    </row>
    <row r="34" customFormat="false" ht="23.85" hidden="false" customHeight="false" outlineLevel="0" collapsed="false">
      <c r="A34" s="16" t="s">
        <v>5076</v>
      </c>
      <c r="B34" s="16" t="s">
        <v>5086</v>
      </c>
      <c r="C34" s="16" t="s">
        <v>5087</v>
      </c>
      <c r="D34" s="16" t="s">
        <v>44</v>
      </c>
      <c r="E34" s="16" t="s">
        <v>5088</v>
      </c>
    </row>
    <row r="35" customFormat="false" ht="15" hidden="false" customHeight="false" outlineLevel="0" collapsed="false">
      <c r="A35" s="16" t="s">
        <v>5076</v>
      </c>
      <c r="B35" s="16" t="s">
        <v>5089</v>
      </c>
      <c r="C35" s="16" t="s">
        <v>5090</v>
      </c>
      <c r="D35" s="16" t="s">
        <v>5091</v>
      </c>
      <c r="E35" s="16" t="s">
        <v>5092</v>
      </c>
    </row>
    <row r="36" customFormat="false" ht="23.85" hidden="false" customHeight="false" outlineLevel="0" collapsed="false">
      <c r="A36" s="16" t="s">
        <v>5076</v>
      </c>
      <c r="B36" s="16" t="s">
        <v>5093</v>
      </c>
      <c r="C36" s="16" t="s">
        <v>5094</v>
      </c>
      <c r="D36" s="16" t="s">
        <v>5095</v>
      </c>
      <c r="E36" s="16" t="s">
        <v>5092</v>
      </c>
    </row>
    <row r="37" customFormat="false" ht="23.85" hidden="false" customHeight="false" outlineLevel="0" collapsed="false">
      <c r="A37" s="16" t="s">
        <v>5076</v>
      </c>
      <c r="B37" s="16" t="s">
        <v>5096</v>
      </c>
      <c r="C37" s="16" t="s">
        <v>5097</v>
      </c>
      <c r="D37" s="16" t="s">
        <v>43</v>
      </c>
      <c r="E37" s="16" t="s">
        <v>5092</v>
      </c>
    </row>
    <row r="38" customFormat="false" ht="23.85" hidden="false" customHeight="false" outlineLevel="0" collapsed="false">
      <c r="A38" s="16" t="s">
        <v>5076</v>
      </c>
      <c r="B38" s="16" t="s">
        <v>5098</v>
      </c>
      <c r="C38" s="16" t="s">
        <v>5099</v>
      </c>
      <c r="D38" s="16" t="s">
        <v>43</v>
      </c>
      <c r="E38" s="16" t="s">
        <v>5092</v>
      </c>
    </row>
    <row r="39" customFormat="false" ht="57.45" hidden="false" customHeight="false" outlineLevel="0" collapsed="false">
      <c r="A39" s="16" t="s">
        <v>5076</v>
      </c>
      <c r="B39" s="16" t="s">
        <v>5100</v>
      </c>
      <c r="C39" s="16" t="s">
        <v>5101</v>
      </c>
      <c r="D39" s="16" t="s">
        <v>120</v>
      </c>
      <c r="E39" s="16" t="s">
        <v>5102</v>
      </c>
    </row>
    <row r="40" customFormat="false" ht="35.05" hidden="false" customHeight="false" outlineLevel="0" collapsed="false">
      <c r="A40" s="16" t="s">
        <v>4963</v>
      </c>
      <c r="B40" s="16" t="s">
        <v>5103</v>
      </c>
      <c r="C40" s="16" t="s">
        <v>5104</v>
      </c>
      <c r="D40" s="16" t="s">
        <v>120</v>
      </c>
      <c r="E40" s="16" t="s">
        <v>5092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50"/>
    <col collapsed="false" customWidth="true" hidden="false" outlineLevel="0" max="4" min="4" style="0" width="30"/>
    <col collapsed="false" customWidth="true" hidden="false" outlineLevel="0" max="5" min="5" style="0" width="34"/>
  </cols>
  <sheetData>
    <row r="1" customFormat="false" ht="17.35" hidden="false" customHeight="false" outlineLevel="0" collapsed="false">
      <c r="A1" s="1" t="s">
        <v>5105</v>
      </c>
    </row>
    <row r="2" customFormat="false" ht="15" hidden="false" customHeight="false" outlineLevel="0" collapsed="false">
      <c r="A2" s="2" t="s">
        <v>5106</v>
      </c>
    </row>
    <row r="4" customFormat="false" ht="15" hidden="false" customHeight="false" outlineLevel="0" collapsed="false">
      <c r="A4" s="8" t="s">
        <v>4776</v>
      </c>
      <c r="B4" s="8" t="s">
        <v>5107</v>
      </c>
      <c r="C4" s="8" t="s">
        <v>5108</v>
      </c>
      <c r="D4" s="8" t="s">
        <v>5109</v>
      </c>
      <c r="E4" s="8" t="s">
        <v>5110</v>
      </c>
    </row>
    <row r="5" customFormat="false" ht="23.85" hidden="false" customHeight="false" outlineLevel="0" collapsed="false">
      <c r="A5" s="9" t="n">
        <v>1</v>
      </c>
      <c r="B5" s="16" t="s">
        <v>5111</v>
      </c>
      <c r="C5" s="16" t="s">
        <v>5112</v>
      </c>
      <c r="D5" s="16" t="s">
        <v>5113</v>
      </c>
      <c r="E5" s="16" t="s">
        <v>5114</v>
      </c>
    </row>
    <row r="6" customFormat="false" ht="46.25" hidden="false" customHeight="false" outlineLevel="0" collapsed="false">
      <c r="A6" s="9" t="n">
        <v>2</v>
      </c>
      <c r="B6" s="16" t="s">
        <v>5115</v>
      </c>
      <c r="C6" s="16" t="s">
        <v>5116</v>
      </c>
      <c r="D6" s="16" t="s">
        <v>5117</v>
      </c>
      <c r="E6" s="16" t="s">
        <v>5118</v>
      </c>
    </row>
    <row r="7" customFormat="false" ht="35.05" hidden="false" customHeight="false" outlineLevel="0" collapsed="false">
      <c r="A7" s="9" t="n">
        <v>3</v>
      </c>
      <c r="B7" s="16" t="s">
        <v>5119</v>
      </c>
      <c r="C7" s="16" t="s">
        <v>5120</v>
      </c>
      <c r="D7" s="16" t="s">
        <v>5121</v>
      </c>
      <c r="E7" s="16" t="s">
        <v>5122</v>
      </c>
    </row>
    <row r="8" customFormat="false" ht="23.85" hidden="false" customHeight="false" outlineLevel="0" collapsed="false">
      <c r="A8" s="9" t="n">
        <v>4</v>
      </c>
      <c r="B8" s="16" t="s">
        <v>5123</v>
      </c>
      <c r="C8" s="16" t="s">
        <v>5124</v>
      </c>
      <c r="D8" s="16" t="s">
        <v>5125</v>
      </c>
      <c r="E8" s="16" t="s">
        <v>5126</v>
      </c>
    </row>
    <row r="9" customFormat="false" ht="23.85" hidden="false" customHeight="false" outlineLevel="0" collapsed="false">
      <c r="A9" s="9" t="n">
        <v>5</v>
      </c>
      <c r="B9" s="16" t="s">
        <v>5127</v>
      </c>
      <c r="C9" s="16" t="s">
        <v>5128</v>
      </c>
      <c r="D9" s="16" t="s">
        <v>5129</v>
      </c>
      <c r="E9" s="16" t="s">
        <v>5130</v>
      </c>
    </row>
    <row r="10" customFormat="false" ht="23.85" hidden="false" customHeight="false" outlineLevel="0" collapsed="false">
      <c r="A10" s="9" t="n">
        <v>6</v>
      </c>
      <c r="B10" s="16" t="s">
        <v>5131</v>
      </c>
      <c r="C10" s="16" t="s">
        <v>5132</v>
      </c>
      <c r="D10" s="16" t="s">
        <v>591</v>
      </c>
      <c r="E10" s="16" t="s">
        <v>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7" t="s">
        <v>5133</v>
      </c>
    </row>
    <row r="4" customFormat="false" ht="15" hidden="false" customHeight="false" outlineLevel="0" collapsed="false">
      <c r="A4" s="18" t="s">
        <v>5134</v>
      </c>
    </row>
    <row r="5" customFormat="false" ht="35.05" hidden="false" customHeight="false" outlineLevel="0" collapsed="false">
      <c r="A5" s="19" t="s">
        <v>5135</v>
      </c>
      <c r="B5" s="20" t="s">
        <v>5136</v>
      </c>
    </row>
    <row r="6" customFormat="false" ht="23.85" hidden="false" customHeight="false" outlineLevel="0" collapsed="false">
      <c r="A6" s="19" t="s">
        <v>5137</v>
      </c>
      <c r="B6" s="20" t="s">
        <v>5138</v>
      </c>
    </row>
    <row r="7" customFormat="false" ht="23.85" hidden="false" customHeight="false" outlineLevel="0" collapsed="false">
      <c r="A7" s="19" t="s">
        <v>5139</v>
      </c>
      <c r="B7" s="20" t="s">
        <v>5140</v>
      </c>
    </row>
    <row r="9" customFormat="false" ht="15" hidden="false" customHeight="false" outlineLevel="0" collapsed="false">
      <c r="A9" s="18" t="s">
        <v>5141</v>
      </c>
    </row>
    <row r="10" customFormat="false" ht="23.85" hidden="false" customHeight="false" outlineLevel="0" collapsed="false">
      <c r="A10" s="19" t="s">
        <v>5142</v>
      </c>
      <c r="B10" s="20" t="s">
        <v>5143</v>
      </c>
    </row>
    <row r="11" customFormat="false" ht="23.85" hidden="false" customHeight="false" outlineLevel="0" collapsed="false">
      <c r="A11" s="19" t="s">
        <v>5144</v>
      </c>
      <c r="B11" s="20" t="s">
        <v>5145</v>
      </c>
    </row>
    <row r="12" customFormat="false" ht="15" hidden="false" customHeight="false" outlineLevel="0" collapsed="false">
      <c r="A12" s="19" t="s">
        <v>5146</v>
      </c>
      <c r="B12" s="20" t="s">
        <v>5147</v>
      </c>
    </row>
    <row r="13" customFormat="false" ht="23.85" hidden="false" customHeight="false" outlineLevel="0" collapsed="false">
      <c r="A13" s="19" t="s">
        <v>5148</v>
      </c>
      <c r="B13" s="20" t="s">
        <v>5149</v>
      </c>
    </row>
    <row r="14" customFormat="false" ht="23.85" hidden="false" customHeight="false" outlineLevel="0" collapsed="false">
      <c r="A14" s="19" t="s">
        <v>5150</v>
      </c>
      <c r="B14" s="20" t="s">
        <v>5151</v>
      </c>
    </row>
    <row r="15" customFormat="false" ht="23.85" hidden="false" customHeight="false" outlineLevel="0" collapsed="false">
      <c r="A15" s="19" t="s">
        <v>5152</v>
      </c>
      <c r="B15" s="20" t="s">
        <v>5153</v>
      </c>
    </row>
    <row r="16" customFormat="false" ht="23.85" hidden="false" customHeight="false" outlineLevel="0" collapsed="false">
      <c r="A16" s="19" t="s">
        <v>5154</v>
      </c>
      <c r="B16" s="20" t="s">
        <v>5155</v>
      </c>
    </row>
    <row r="17" customFormat="false" ht="35.05" hidden="false" customHeight="false" outlineLevel="0" collapsed="false">
      <c r="A17" s="19" t="s">
        <v>5156</v>
      </c>
      <c r="B17" s="20" t="s">
        <v>5157</v>
      </c>
    </row>
    <row r="19" customFormat="false" ht="15" hidden="false" customHeight="false" outlineLevel="0" collapsed="false">
      <c r="A19" s="18" t="s">
        <v>5158</v>
      </c>
    </row>
    <row r="20" customFormat="false" ht="15" hidden="false" customHeight="false" outlineLevel="0" collapsed="false">
      <c r="A20" s="19" t="s">
        <v>144</v>
      </c>
      <c r="B20" s="20" t="s">
        <v>5159</v>
      </c>
    </row>
    <row r="21" customFormat="false" ht="15" hidden="false" customHeight="false" outlineLevel="0" collapsed="false">
      <c r="A21" s="19" t="s">
        <v>206</v>
      </c>
      <c r="B21" s="20" t="s">
        <v>5160</v>
      </c>
    </row>
    <row r="22" customFormat="false" ht="15" hidden="false" customHeight="false" outlineLevel="0" collapsed="false">
      <c r="A22" s="19" t="s">
        <v>178</v>
      </c>
      <c r="B22" s="20" t="s">
        <v>5161</v>
      </c>
    </row>
    <row r="24" customFormat="false" ht="15" hidden="false" customHeight="false" outlineLevel="0" collapsed="false">
      <c r="A24" s="18" t="s">
        <v>5162</v>
      </c>
    </row>
    <row r="25" customFormat="false" ht="23.85" hidden="false" customHeight="false" outlineLevel="0" collapsed="false">
      <c r="A25" s="19" t="s">
        <v>41</v>
      </c>
      <c r="B25" s="20" t="s">
        <v>5163</v>
      </c>
    </row>
    <row r="26" customFormat="false" ht="23.85" hidden="false" customHeight="false" outlineLevel="0" collapsed="false">
      <c r="A26" s="19" t="s">
        <v>42</v>
      </c>
      <c r="B26" s="20" t="s">
        <v>5164</v>
      </c>
    </row>
    <row r="27" customFormat="false" ht="23.85" hidden="false" customHeight="false" outlineLevel="0" collapsed="false">
      <c r="A27" s="19" t="s">
        <v>43</v>
      </c>
      <c r="B27" s="20" t="s">
        <v>5165</v>
      </c>
    </row>
    <row r="28" customFormat="false" ht="23.85" hidden="false" customHeight="false" outlineLevel="0" collapsed="false">
      <c r="A28" s="19" t="s">
        <v>44</v>
      </c>
      <c r="B28" s="20" t="s">
        <v>5166</v>
      </c>
    </row>
    <row r="29" customFormat="false" ht="23.85" hidden="false" customHeight="false" outlineLevel="0" collapsed="false">
      <c r="A29" s="19" t="s">
        <v>5167</v>
      </c>
      <c r="B29" s="20" t="s">
        <v>5168</v>
      </c>
    </row>
    <row r="31" customFormat="false" ht="15" hidden="false" customHeight="false" outlineLevel="0" collapsed="false">
      <c r="A31" s="18" t="s">
        <v>5169</v>
      </c>
    </row>
    <row r="32" customFormat="false" ht="15" hidden="false" customHeight="false" outlineLevel="0" collapsed="false">
      <c r="A32" s="19" t="s">
        <v>10</v>
      </c>
      <c r="B32" s="20" t="s">
        <v>5170</v>
      </c>
    </row>
    <row r="33" customFormat="false" ht="15" hidden="false" customHeight="false" outlineLevel="0" collapsed="false">
      <c r="A33" s="19" t="s">
        <v>5171</v>
      </c>
      <c r="B33" s="20" t="s">
        <v>5172</v>
      </c>
    </row>
    <row r="34" customFormat="false" ht="15" hidden="false" customHeight="false" outlineLevel="0" collapsed="false">
      <c r="A34" s="19" t="s">
        <v>14</v>
      </c>
      <c r="B34" s="20" t="s">
        <v>5173</v>
      </c>
    </row>
    <row r="35" customFormat="false" ht="15" hidden="false" customHeight="false" outlineLevel="0" collapsed="false">
      <c r="A35" s="19" t="s">
        <v>5174</v>
      </c>
      <c r="B35" s="20" t="s">
        <v>5175</v>
      </c>
    </row>
    <row r="36" customFormat="false" ht="15" hidden="false" customHeight="false" outlineLevel="0" collapsed="false">
      <c r="A36" s="19" t="s">
        <v>5176</v>
      </c>
      <c r="B36" s="20" t="s">
        <v>5177</v>
      </c>
    </row>
    <row r="37" customFormat="false" ht="15" hidden="false" customHeight="false" outlineLevel="0" collapsed="false">
      <c r="A37" s="19" t="s">
        <v>5178</v>
      </c>
      <c r="B37" s="20" t="s">
        <v>5179</v>
      </c>
    </row>
    <row r="39" customFormat="false" ht="15" hidden="false" customHeight="false" outlineLevel="0" collapsed="false">
      <c r="A39" s="18" t="s">
        <v>5180</v>
      </c>
    </row>
    <row r="40" customFormat="false" ht="15" hidden="false" customHeight="false" outlineLevel="0" collapsed="false">
      <c r="A40" s="19" t="s">
        <v>5181</v>
      </c>
      <c r="B40" s="20" t="s">
        <v>5182</v>
      </c>
    </row>
    <row r="41" customFormat="false" ht="15" hidden="false" customHeight="false" outlineLevel="0" collapsed="false">
      <c r="A41" s="19" t="s">
        <v>5183</v>
      </c>
      <c r="B41" s="20" t="s">
        <v>5184</v>
      </c>
    </row>
    <row r="42" customFormat="false" ht="15" hidden="false" customHeight="false" outlineLevel="0" collapsed="false">
      <c r="A42" s="19" t="s">
        <v>5185</v>
      </c>
      <c r="B42" s="20" t="s">
        <v>5186</v>
      </c>
    </row>
    <row r="43" customFormat="false" ht="23.85" hidden="false" customHeight="false" outlineLevel="0" collapsed="false">
      <c r="A43" s="19" t="s">
        <v>5187</v>
      </c>
      <c r="B43" s="20" t="s">
        <v>5188</v>
      </c>
    </row>
    <row r="44" customFormat="false" ht="23.85" hidden="false" customHeight="false" outlineLevel="0" collapsed="false">
      <c r="A44" s="19" t="s">
        <v>5189</v>
      </c>
      <c r="B44" s="20" t="s">
        <v>5190</v>
      </c>
    </row>
    <row r="45" customFormat="false" ht="15" hidden="false" customHeight="false" outlineLevel="0" collapsed="false">
      <c r="A45" s="19" t="s">
        <v>5191</v>
      </c>
      <c r="B45" s="20" t="s">
        <v>5192</v>
      </c>
    </row>
    <row r="47" customFormat="false" ht="15" hidden="false" customHeight="false" outlineLevel="0" collapsed="false">
      <c r="A47" s="18" t="s">
        <v>5193</v>
      </c>
    </row>
    <row r="48" customFormat="false" ht="15" hidden="false" customHeight="false" outlineLevel="0" collapsed="false">
      <c r="A48" s="19" t="s">
        <v>5194</v>
      </c>
      <c r="B48" s="20" t="s">
        <v>5195</v>
      </c>
    </row>
    <row r="49" customFormat="false" ht="15" hidden="false" customHeight="false" outlineLevel="0" collapsed="false">
      <c r="A49" s="19" t="s">
        <v>5196</v>
      </c>
      <c r="B49" s="20" t="s">
        <v>5197</v>
      </c>
    </row>
    <row r="50" customFormat="false" ht="23.85" hidden="false" customHeight="false" outlineLevel="0" collapsed="false">
      <c r="A50" s="19" t="s">
        <v>5198</v>
      </c>
      <c r="B50" s="20" t="s">
        <v>5199</v>
      </c>
    </row>
    <row r="52" customFormat="false" ht="15" hidden="false" customHeight="false" outlineLevel="0" collapsed="false">
      <c r="A52" s="18" t="s">
        <v>5200</v>
      </c>
    </row>
    <row r="53" customFormat="false" ht="15" hidden="false" customHeight="false" outlineLevel="0" collapsed="false">
      <c r="A53" s="21" t="s">
        <v>5201</v>
      </c>
      <c r="B53" s="20" t="s">
        <v>5202</v>
      </c>
    </row>
    <row r="54" customFormat="false" ht="15" hidden="false" customHeight="false" outlineLevel="0" collapsed="false">
      <c r="A54" s="22" t="s">
        <v>5203</v>
      </c>
      <c r="B54" s="20" t="s">
        <v>5204</v>
      </c>
    </row>
    <row r="55" customFormat="false" ht="15" hidden="false" customHeight="false" outlineLevel="0" collapsed="false">
      <c r="A55" s="23" t="s">
        <v>41</v>
      </c>
      <c r="B55" s="20" t="s">
        <v>5205</v>
      </c>
    </row>
    <row r="56" customFormat="false" ht="15" hidden="false" customHeight="false" outlineLevel="0" collapsed="false">
      <c r="A56" s="24" t="s">
        <v>42</v>
      </c>
      <c r="B56" s="20" t="s">
        <v>5205</v>
      </c>
    </row>
    <row r="57" customFormat="false" ht="15" hidden="false" customHeight="false" outlineLevel="0" collapsed="false">
      <c r="A57" s="25" t="s">
        <v>43</v>
      </c>
      <c r="B57" s="20" t="s">
        <v>5205</v>
      </c>
    </row>
    <row r="58" customFormat="false" ht="15" hidden="false" customHeight="false" outlineLevel="0" collapsed="false">
      <c r="A58" s="26" t="s">
        <v>44</v>
      </c>
      <c r="B58" s="20" t="s">
        <v>5205</v>
      </c>
    </row>
    <row r="60" customFormat="false" ht="15" hidden="false" customHeight="false" outlineLevel="0" collapsed="false">
      <c r="A60" s="7" t="s">
        <v>5206</v>
      </c>
    </row>
    <row r="61" customFormat="false" ht="23.85" hidden="false" customHeight="false" outlineLevel="0" collapsed="false">
      <c r="A61" s="5" t="s">
        <v>5207</v>
      </c>
      <c r="B61" s="20" t="s">
        <v>5208</v>
      </c>
    </row>
    <row r="62" customFormat="false" ht="23.85" hidden="false" customHeight="false" outlineLevel="0" collapsed="false">
      <c r="A62" s="5" t="s">
        <v>5209</v>
      </c>
      <c r="B62" s="20" t="s">
        <v>5210</v>
      </c>
    </row>
    <row r="63" customFormat="false" ht="23.85" hidden="false" customHeight="false" outlineLevel="0" collapsed="false">
      <c r="A63" s="5" t="s">
        <v>5211</v>
      </c>
      <c r="B63" s="20" t="s">
        <v>5212</v>
      </c>
    </row>
    <row r="64" customFormat="false" ht="23.85" hidden="false" customHeight="false" outlineLevel="0" collapsed="false">
      <c r="A64" s="5" t="s">
        <v>5213</v>
      </c>
      <c r="B64" s="20" t="s">
        <v>5214</v>
      </c>
    </row>
    <row r="65" customFormat="false" ht="23.85" hidden="false" customHeight="false" outlineLevel="0" collapsed="false">
      <c r="A65" s="5" t="s">
        <v>5215</v>
      </c>
      <c r="B65" s="20" t="s">
        <v>5216</v>
      </c>
    </row>
    <row r="66" customFormat="false" ht="15" hidden="false" customHeight="false" outlineLevel="0" collapsed="false">
      <c r="A66" s="5" t="s">
        <v>5217</v>
      </c>
      <c r="B66" s="20" t="s">
        <v>5218</v>
      </c>
    </row>
    <row r="67" customFormat="false" ht="15" hidden="false" customHeight="false" outlineLevel="0" collapsed="false">
      <c r="A67" s="5" t="s">
        <v>5219</v>
      </c>
      <c r="B67" s="20" t="s">
        <v>5220</v>
      </c>
    </row>
    <row r="68" customFormat="false" ht="23.85" hidden="false" customHeight="false" outlineLevel="0" collapsed="false">
      <c r="A68" s="5" t="s">
        <v>5221</v>
      </c>
      <c r="B68" s="20" t="s">
        <v>5222</v>
      </c>
    </row>
    <row r="69" customFormat="false" ht="23.85" hidden="false" customHeight="false" outlineLevel="0" collapsed="false">
      <c r="A69" s="5" t="s">
        <v>5223</v>
      </c>
      <c r="B69" s="20" t="s">
        <v>5224</v>
      </c>
    </row>
    <row r="70" customFormat="false" ht="23.85" hidden="false" customHeight="false" outlineLevel="0" collapsed="false">
      <c r="A70" s="5" t="s">
        <v>5225</v>
      </c>
      <c r="B70" s="20" t="s">
        <v>5226</v>
      </c>
    </row>
    <row r="71" customFormat="false" ht="23.85" hidden="false" customHeight="false" outlineLevel="0" collapsed="false">
      <c r="A71" s="5" t="s">
        <v>5227</v>
      </c>
      <c r="B71" s="20" t="s">
        <v>5228</v>
      </c>
    </row>
    <row r="72" customFormat="false" ht="23.85" hidden="false" customHeight="false" outlineLevel="0" collapsed="false">
      <c r="A72" s="5" t="s">
        <v>5229</v>
      </c>
      <c r="B72" s="20" t="s">
        <v>5230</v>
      </c>
    </row>
    <row r="73" customFormat="false" ht="23.85" hidden="false" customHeight="false" outlineLevel="0" collapsed="false">
      <c r="A73" s="5" t="s">
        <v>5231</v>
      </c>
      <c r="B73" s="20" t="s">
        <v>5232</v>
      </c>
    </row>
    <row r="74" customFormat="false" ht="23.85" hidden="false" customHeight="false" outlineLevel="0" collapsed="false">
      <c r="A74" s="5" t="s">
        <v>5233</v>
      </c>
      <c r="B74" s="20" t="s">
        <v>5234</v>
      </c>
    </row>
    <row r="75" customFormat="false" ht="35.05" hidden="false" customHeight="false" outlineLevel="0" collapsed="false">
      <c r="A75" s="5" t="s">
        <v>5235</v>
      </c>
      <c r="B75" s="20" t="s">
        <v>5236</v>
      </c>
    </row>
    <row r="76" customFormat="false" ht="23.85" hidden="false" customHeight="false" outlineLevel="0" collapsed="false">
      <c r="A76" s="5" t="s">
        <v>5237</v>
      </c>
      <c r="B76" s="20" t="s">
        <v>5238</v>
      </c>
    </row>
    <row r="78" customFormat="false" ht="15" hidden="false" customHeight="false" outlineLevel="0" collapsed="false">
      <c r="A78" s="7" t="s">
        <v>5239</v>
      </c>
    </row>
    <row r="79" customFormat="false" ht="35.05" hidden="false" customHeight="false" outlineLevel="0" collapsed="false">
      <c r="A79" s="5" t="s">
        <v>5240</v>
      </c>
      <c r="B79" s="20" t="s">
        <v>5241</v>
      </c>
    </row>
    <row r="80" customFormat="false" ht="23.85" hidden="false" customHeight="false" outlineLevel="0" collapsed="false">
      <c r="A80" s="5" t="s">
        <v>5242</v>
      </c>
      <c r="B80" s="20" t="s">
        <v>5243</v>
      </c>
    </row>
    <row r="81" customFormat="false" ht="23.85" hidden="false" customHeight="false" outlineLevel="0" collapsed="false">
      <c r="A81" s="5" t="s">
        <v>133</v>
      </c>
      <c r="B81" s="20" t="s">
        <v>5244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40"/>
    <col collapsed="false" customWidth="true" hidden="false" outlineLevel="0" max="4" min="4" style="0" width="18"/>
  </cols>
  <sheetData>
    <row r="1" customFormat="false" ht="17.35" hidden="false" customHeight="false" outlineLevel="0" collapsed="false">
      <c r="A1" s="1" t="s">
        <v>5245</v>
      </c>
    </row>
    <row r="3" customFormat="false" ht="15" hidden="false" customHeight="false" outlineLevel="0" collapsed="false">
      <c r="A3" s="8" t="s">
        <v>5246</v>
      </c>
      <c r="B3" s="8" t="s">
        <v>5247</v>
      </c>
      <c r="C3" s="8" t="s">
        <v>4193</v>
      </c>
      <c r="D3" s="8" t="s">
        <v>5248</v>
      </c>
    </row>
    <row r="4" customFormat="false" ht="15" hidden="false" customHeight="false" outlineLevel="0" collapsed="false">
      <c r="A4" s="16" t="s">
        <v>4236</v>
      </c>
      <c r="B4" s="16" t="s">
        <v>5249</v>
      </c>
      <c r="C4" s="16" t="s">
        <v>93</v>
      </c>
      <c r="D4" s="16" t="s">
        <v>5250</v>
      </c>
    </row>
    <row r="5" customFormat="false" ht="15" hidden="false" customHeight="false" outlineLevel="0" collapsed="false">
      <c r="A5" s="16" t="s">
        <v>4348</v>
      </c>
      <c r="B5" s="16" t="s">
        <v>5251</v>
      </c>
      <c r="C5" s="16" t="s">
        <v>93</v>
      </c>
      <c r="D5" s="16" t="s">
        <v>5250</v>
      </c>
    </row>
    <row r="6" customFormat="false" ht="15" hidden="false" customHeight="false" outlineLevel="0" collapsed="false">
      <c r="A6" s="16" t="s">
        <v>4244</v>
      </c>
      <c r="B6" s="16" t="s">
        <v>5252</v>
      </c>
      <c r="C6" s="16" t="s">
        <v>5253</v>
      </c>
      <c r="D6" s="16" t="s">
        <v>5250</v>
      </c>
    </row>
    <row r="7" customFormat="false" ht="15" hidden="false" customHeight="false" outlineLevel="0" collapsed="false">
      <c r="A7" s="16" t="s">
        <v>4217</v>
      </c>
      <c r="B7" s="16" t="s">
        <v>5254</v>
      </c>
      <c r="C7" s="16" t="s">
        <v>95</v>
      </c>
      <c r="D7" s="16" t="s">
        <v>5255</v>
      </c>
    </row>
    <row r="8" customFormat="false" ht="15" hidden="false" customHeight="false" outlineLevel="0" collapsed="false">
      <c r="A8" s="16" t="s">
        <v>4206</v>
      </c>
      <c r="B8" s="16" t="s">
        <v>5256</v>
      </c>
      <c r="C8" s="16" t="s">
        <v>95</v>
      </c>
      <c r="D8" s="16" t="s">
        <v>5250</v>
      </c>
    </row>
    <row r="9" customFormat="false" ht="15" hidden="false" customHeight="false" outlineLevel="0" collapsed="false">
      <c r="A9" s="16" t="s">
        <v>4224</v>
      </c>
      <c r="B9" s="16" t="s">
        <v>5257</v>
      </c>
      <c r="C9" s="16" t="s">
        <v>5258</v>
      </c>
      <c r="D9" s="16" t="s">
        <v>5259</v>
      </c>
    </row>
    <row r="10" customFormat="false" ht="15" hidden="false" customHeight="false" outlineLevel="0" collapsed="false">
      <c r="A10" s="16" t="s">
        <v>4340</v>
      </c>
      <c r="B10" s="16" t="s">
        <v>5260</v>
      </c>
      <c r="C10" s="16" t="s">
        <v>5261</v>
      </c>
      <c r="D10" s="16" t="s">
        <v>5250</v>
      </c>
    </row>
    <row r="11" customFormat="false" ht="15" hidden="false" customHeight="false" outlineLevel="0" collapsed="false">
      <c r="A11" s="16" t="s">
        <v>5262</v>
      </c>
      <c r="B11" s="16" t="s">
        <v>5263</v>
      </c>
      <c r="C11" s="16" t="s">
        <v>5264</v>
      </c>
      <c r="D11" s="16" t="s">
        <v>5250</v>
      </c>
    </row>
    <row r="12" customFormat="false" ht="15" hidden="false" customHeight="false" outlineLevel="0" collapsed="false">
      <c r="A12" s="16" t="s">
        <v>5265</v>
      </c>
      <c r="B12" s="16" t="s">
        <v>591</v>
      </c>
      <c r="C12" s="16" t="s">
        <v>5266</v>
      </c>
      <c r="D12" s="16" t="s">
        <v>5267</v>
      </c>
    </row>
    <row r="13" customFormat="false" ht="23.85" hidden="false" customHeight="false" outlineLevel="0" collapsed="false">
      <c r="A13" s="16" t="s">
        <v>5268</v>
      </c>
      <c r="B13" s="16"/>
      <c r="C13" s="16" t="s">
        <v>5269</v>
      </c>
      <c r="D13" s="16" t="s">
        <v>5270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2026-10-09T01:22:16Z</dcterms:created>
  <dc:creator>openpyxl</dc:creator>
  <dc:description/>
  <dc:language>en-US</dc:language>
  <cp:lastModifiedBy/>
  <dcterms:modified xsi:type="dcterms:W3CDTF">2026-10-09T01:22:17Z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